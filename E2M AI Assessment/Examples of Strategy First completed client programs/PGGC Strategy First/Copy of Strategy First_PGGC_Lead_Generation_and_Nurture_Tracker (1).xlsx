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JKmacbookpro2012/Downloads/"/>
    </mc:Choice>
  </mc:AlternateContent>
  <xr:revisionPtr revIDLastSave="0" documentId="13_ncr:1_{7D15D9A1-29AB-9842-8F88-F5205CA2584D}" xr6:coauthVersionLast="47" xr6:coauthVersionMax="47" xr10:uidLastSave="{00000000-0000-0000-0000-000000000000}"/>
  <bookViews>
    <workbookView xWindow="44800" yWindow="1600" windowWidth="33600" windowHeight="20500" xr2:uid="{00000000-000D-0000-FFFF-FFFF00000000}"/>
  </bookViews>
  <sheets>
    <sheet name="Lists" sheetId="1" r:id="rId1"/>
    <sheet name="Lead Tracker" sheetId="2" r:id="rId2"/>
    <sheet name="Opportunity Tracker" sheetId="3" r:id="rId3"/>
    <sheet name="Weekly Follow-Up" sheetId="4" r:id="rId4"/>
    <sheet name="Dashboard" sheetId="5" r:id="rId5"/>
    <sheet name="Cadence &amp; Scripts" sheetId="6" r:id="rId6"/>
    <sheet name="CASL No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G12" i="5"/>
  <c r="F12" i="5"/>
  <c r="E12" i="5"/>
  <c r="H11" i="5"/>
  <c r="G11" i="5"/>
  <c r="F11" i="5"/>
  <c r="E11" i="5"/>
  <c r="H10" i="5"/>
  <c r="G10" i="5"/>
  <c r="F10" i="5"/>
  <c r="E10" i="5"/>
  <c r="B10" i="5"/>
  <c r="H9" i="5"/>
  <c r="G9" i="5"/>
  <c r="F9" i="5"/>
  <c r="E9" i="5"/>
  <c r="B9" i="5"/>
  <c r="H8" i="5"/>
  <c r="G8" i="5"/>
  <c r="F8" i="5"/>
  <c r="E8" i="5"/>
  <c r="B8" i="5"/>
  <c r="H7" i="5"/>
  <c r="G7" i="5"/>
  <c r="F7" i="5"/>
  <c r="E7" i="5"/>
  <c r="B7" i="5"/>
  <c r="H6" i="5"/>
  <c r="G6" i="5"/>
  <c r="F6" i="5"/>
  <c r="E6" i="5"/>
  <c r="B6" i="5"/>
  <c r="H5" i="5"/>
  <c r="G5" i="5"/>
  <c r="F5" i="5"/>
  <c r="E5" i="5"/>
  <c r="B5" i="5"/>
  <c r="H4" i="5"/>
  <c r="G4" i="5"/>
  <c r="F4" i="5"/>
  <c r="E4" i="5"/>
  <c r="B4" i="5"/>
  <c r="D4" i="4"/>
  <c r="P203" i="3"/>
  <c r="O203" i="3"/>
  <c r="A203" i="3"/>
  <c r="P202" i="3"/>
  <c r="O202" i="3"/>
  <c r="A202" i="3"/>
  <c r="P201" i="3"/>
  <c r="O201" i="3"/>
  <c r="A201" i="3"/>
  <c r="P200" i="3"/>
  <c r="O200" i="3"/>
  <c r="A200" i="3"/>
  <c r="P199" i="3"/>
  <c r="O199" i="3"/>
  <c r="A199" i="3"/>
  <c r="P198" i="3"/>
  <c r="O198" i="3"/>
  <c r="A198" i="3"/>
  <c r="P197" i="3"/>
  <c r="O197" i="3"/>
  <c r="A197" i="3"/>
  <c r="P196" i="3"/>
  <c r="O196" i="3"/>
  <c r="A196" i="3"/>
  <c r="P195" i="3"/>
  <c r="O195" i="3"/>
  <c r="A195" i="3"/>
  <c r="P194" i="3"/>
  <c r="O194" i="3"/>
  <c r="A194" i="3"/>
  <c r="P193" i="3"/>
  <c r="O193" i="3"/>
  <c r="A193" i="3"/>
  <c r="P192" i="3"/>
  <c r="O192" i="3"/>
  <c r="A192" i="3"/>
  <c r="P191" i="3"/>
  <c r="O191" i="3"/>
  <c r="A191" i="3"/>
  <c r="P190" i="3"/>
  <c r="O190" i="3"/>
  <c r="A190" i="3"/>
  <c r="P189" i="3"/>
  <c r="O189" i="3"/>
  <c r="A189" i="3"/>
  <c r="P188" i="3"/>
  <c r="O188" i="3"/>
  <c r="A188" i="3"/>
  <c r="P187" i="3"/>
  <c r="O187" i="3"/>
  <c r="A187" i="3"/>
  <c r="P186" i="3"/>
  <c r="O186" i="3"/>
  <c r="A186" i="3"/>
  <c r="P185" i="3"/>
  <c r="O185" i="3"/>
  <c r="A185" i="3"/>
  <c r="P184" i="3"/>
  <c r="O184" i="3"/>
  <c r="A184" i="3"/>
  <c r="P183" i="3"/>
  <c r="O183" i="3"/>
  <c r="A183" i="3"/>
  <c r="P182" i="3"/>
  <c r="O182" i="3"/>
  <c r="A182" i="3"/>
  <c r="P181" i="3"/>
  <c r="O181" i="3"/>
  <c r="A181" i="3"/>
  <c r="P180" i="3"/>
  <c r="O180" i="3"/>
  <c r="A180" i="3"/>
  <c r="P179" i="3"/>
  <c r="O179" i="3"/>
  <c r="A179" i="3"/>
  <c r="P178" i="3"/>
  <c r="O178" i="3"/>
  <c r="A178" i="3"/>
  <c r="P177" i="3"/>
  <c r="O177" i="3"/>
  <c r="A177" i="3"/>
  <c r="P176" i="3"/>
  <c r="O176" i="3"/>
  <c r="A176" i="3"/>
  <c r="P175" i="3"/>
  <c r="O175" i="3"/>
  <c r="A175" i="3"/>
  <c r="P174" i="3"/>
  <c r="O174" i="3"/>
  <c r="A174" i="3"/>
  <c r="P173" i="3"/>
  <c r="O173" i="3"/>
  <c r="A173" i="3"/>
  <c r="P172" i="3"/>
  <c r="O172" i="3"/>
  <c r="A172" i="3"/>
  <c r="P171" i="3"/>
  <c r="O171" i="3"/>
  <c r="A171" i="3"/>
  <c r="P170" i="3"/>
  <c r="O170" i="3"/>
  <c r="A170" i="3"/>
  <c r="P169" i="3"/>
  <c r="O169" i="3"/>
  <c r="A169" i="3"/>
  <c r="P168" i="3"/>
  <c r="O168" i="3"/>
  <c r="A168" i="3"/>
  <c r="P167" i="3"/>
  <c r="O167" i="3"/>
  <c r="A167" i="3"/>
  <c r="P166" i="3"/>
  <c r="O166" i="3"/>
  <c r="A166" i="3"/>
  <c r="P165" i="3"/>
  <c r="O165" i="3"/>
  <c r="A165" i="3"/>
  <c r="P164" i="3"/>
  <c r="O164" i="3"/>
  <c r="A164" i="3"/>
  <c r="P163" i="3"/>
  <c r="O163" i="3"/>
  <c r="A163" i="3"/>
  <c r="P162" i="3"/>
  <c r="O162" i="3"/>
  <c r="A162" i="3"/>
  <c r="P161" i="3"/>
  <c r="O161" i="3"/>
  <c r="A161" i="3"/>
  <c r="P160" i="3"/>
  <c r="O160" i="3"/>
  <c r="A160" i="3"/>
  <c r="P159" i="3"/>
  <c r="O159" i="3"/>
  <c r="A159" i="3"/>
  <c r="P158" i="3"/>
  <c r="O158" i="3"/>
  <c r="A158" i="3"/>
  <c r="P157" i="3"/>
  <c r="O157" i="3"/>
  <c r="A157" i="3"/>
  <c r="P156" i="3"/>
  <c r="O156" i="3"/>
  <c r="A156" i="3"/>
  <c r="P155" i="3"/>
  <c r="O155" i="3"/>
  <c r="A155" i="3"/>
  <c r="P154" i="3"/>
  <c r="O154" i="3"/>
  <c r="A154" i="3"/>
  <c r="P153" i="3"/>
  <c r="O153" i="3"/>
  <c r="A153" i="3"/>
  <c r="P152" i="3"/>
  <c r="O152" i="3"/>
  <c r="A152" i="3"/>
  <c r="P151" i="3"/>
  <c r="O151" i="3"/>
  <c r="A151" i="3"/>
  <c r="P150" i="3"/>
  <c r="O150" i="3"/>
  <c r="A150" i="3"/>
  <c r="P149" i="3"/>
  <c r="O149" i="3"/>
  <c r="A149" i="3"/>
  <c r="P148" i="3"/>
  <c r="O148" i="3"/>
  <c r="A148" i="3"/>
  <c r="P147" i="3"/>
  <c r="O147" i="3"/>
  <c r="A147" i="3"/>
  <c r="P146" i="3"/>
  <c r="O146" i="3"/>
  <c r="A146" i="3"/>
  <c r="P145" i="3"/>
  <c r="O145" i="3"/>
  <c r="A145" i="3"/>
  <c r="P144" i="3"/>
  <c r="O144" i="3"/>
  <c r="A144" i="3"/>
  <c r="P143" i="3"/>
  <c r="O143" i="3"/>
  <c r="A143" i="3"/>
  <c r="P142" i="3"/>
  <c r="O142" i="3"/>
  <c r="A142" i="3"/>
  <c r="P141" i="3"/>
  <c r="O141" i="3"/>
  <c r="A141" i="3"/>
  <c r="P140" i="3"/>
  <c r="O140" i="3"/>
  <c r="A140" i="3"/>
  <c r="P139" i="3"/>
  <c r="O139" i="3"/>
  <c r="A139" i="3"/>
  <c r="P138" i="3"/>
  <c r="O138" i="3"/>
  <c r="A138" i="3"/>
  <c r="P137" i="3"/>
  <c r="O137" i="3"/>
  <c r="A137" i="3"/>
  <c r="P136" i="3"/>
  <c r="O136" i="3"/>
  <c r="A136" i="3"/>
  <c r="P135" i="3"/>
  <c r="O135" i="3"/>
  <c r="A135" i="3"/>
  <c r="P134" i="3"/>
  <c r="O134" i="3"/>
  <c r="A134" i="3"/>
  <c r="P133" i="3"/>
  <c r="O133" i="3"/>
  <c r="A133" i="3"/>
  <c r="P132" i="3"/>
  <c r="O132" i="3"/>
  <c r="A132" i="3"/>
  <c r="P131" i="3"/>
  <c r="O131" i="3"/>
  <c r="A131" i="3"/>
  <c r="P130" i="3"/>
  <c r="O130" i="3"/>
  <c r="A130" i="3"/>
  <c r="P129" i="3"/>
  <c r="O129" i="3"/>
  <c r="A129" i="3"/>
  <c r="P128" i="3"/>
  <c r="O128" i="3"/>
  <c r="A128" i="3"/>
  <c r="P127" i="3"/>
  <c r="O127" i="3"/>
  <c r="A127" i="3"/>
  <c r="P126" i="3"/>
  <c r="O126" i="3"/>
  <c r="A126" i="3"/>
  <c r="P125" i="3"/>
  <c r="O125" i="3"/>
  <c r="A125" i="3"/>
  <c r="P124" i="3"/>
  <c r="O124" i="3"/>
  <c r="A124" i="3"/>
  <c r="P123" i="3"/>
  <c r="O123" i="3"/>
  <c r="A123" i="3"/>
  <c r="P122" i="3"/>
  <c r="O122" i="3"/>
  <c r="A122" i="3"/>
  <c r="P121" i="3"/>
  <c r="O121" i="3"/>
  <c r="A121" i="3"/>
  <c r="P120" i="3"/>
  <c r="O120" i="3"/>
  <c r="A120" i="3"/>
  <c r="P119" i="3"/>
  <c r="O119" i="3"/>
  <c r="A119" i="3"/>
  <c r="P118" i="3"/>
  <c r="O118" i="3"/>
  <c r="A118" i="3"/>
  <c r="P117" i="3"/>
  <c r="O117" i="3"/>
  <c r="A117" i="3"/>
  <c r="P116" i="3"/>
  <c r="O116" i="3"/>
  <c r="A116" i="3"/>
  <c r="P115" i="3"/>
  <c r="O115" i="3"/>
  <c r="A115" i="3"/>
  <c r="P114" i="3"/>
  <c r="O114" i="3"/>
  <c r="A114" i="3"/>
  <c r="P113" i="3"/>
  <c r="O113" i="3"/>
  <c r="A113" i="3"/>
  <c r="P112" i="3"/>
  <c r="O112" i="3"/>
  <c r="A112" i="3"/>
  <c r="P111" i="3"/>
  <c r="O111" i="3"/>
  <c r="A111" i="3"/>
  <c r="P110" i="3"/>
  <c r="O110" i="3"/>
  <c r="A110" i="3"/>
  <c r="P109" i="3"/>
  <c r="O109" i="3"/>
  <c r="A109" i="3"/>
  <c r="P108" i="3"/>
  <c r="O108" i="3"/>
  <c r="A108" i="3"/>
  <c r="P107" i="3"/>
  <c r="O107" i="3"/>
  <c r="A107" i="3"/>
  <c r="P106" i="3"/>
  <c r="O106" i="3"/>
  <c r="A106" i="3"/>
  <c r="P105" i="3"/>
  <c r="O105" i="3"/>
  <c r="A105" i="3"/>
  <c r="P104" i="3"/>
  <c r="O104" i="3"/>
  <c r="A104" i="3"/>
  <c r="P103" i="3"/>
  <c r="O103" i="3"/>
  <c r="A103" i="3"/>
  <c r="P102" i="3"/>
  <c r="O102" i="3"/>
  <c r="A102" i="3"/>
  <c r="P101" i="3"/>
  <c r="O101" i="3"/>
  <c r="A101" i="3"/>
  <c r="P100" i="3"/>
  <c r="O100" i="3"/>
  <c r="A100" i="3"/>
  <c r="P99" i="3"/>
  <c r="O99" i="3"/>
  <c r="A99" i="3"/>
  <c r="P98" i="3"/>
  <c r="O98" i="3"/>
  <c r="A98" i="3"/>
  <c r="P97" i="3"/>
  <c r="O97" i="3"/>
  <c r="A97" i="3"/>
  <c r="P96" i="3"/>
  <c r="O96" i="3"/>
  <c r="A96" i="3"/>
  <c r="P95" i="3"/>
  <c r="O95" i="3"/>
  <c r="A95" i="3"/>
  <c r="P94" i="3"/>
  <c r="O94" i="3"/>
  <c r="A94" i="3"/>
  <c r="P93" i="3"/>
  <c r="O93" i="3"/>
  <c r="A93" i="3"/>
  <c r="P92" i="3"/>
  <c r="O92" i="3"/>
  <c r="A92" i="3"/>
  <c r="P91" i="3"/>
  <c r="O91" i="3"/>
  <c r="A91" i="3"/>
  <c r="P90" i="3"/>
  <c r="O90" i="3"/>
  <c r="A90" i="3"/>
  <c r="P89" i="3"/>
  <c r="O89" i="3"/>
  <c r="A89" i="3"/>
  <c r="P88" i="3"/>
  <c r="O88" i="3"/>
  <c r="A88" i="3"/>
  <c r="P87" i="3"/>
  <c r="O87" i="3"/>
  <c r="A87" i="3"/>
  <c r="P86" i="3"/>
  <c r="O86" i="3"/>
  <c r="A86" i="3"/>
  <c r="P85" i="3"/>
  <c r="O85" i="3"/>
  <c r="A85" i="3"/>
  <c r="P84" i="3"/>
  <c r="O84" i="3"/>
  <c r="A84" i="3"/>
  <c r="P83" i="3"/>
  <c r="O83" i="3"/>
  <c r="A83" i="3"/>
  <c r="P82" i="3"/>
  <c r="O82" i="3"/>
  <c r="A82" i="3"/>
  <c r="P81" i="3"/>
  <c r="O81" i="3"/>
  <c r="A81" i="3"/>
  <c r="P80" i="3"/>
  <c r="O80" i="3"/>
  <c r="A80" i="3"/>
  <c r="P79" i="3"/>
  <c r="O79" i="3"/>
  <c r="A79" i="3"/>
  <c r="P78" i="3"/>
  <c r="O78" i="3"/>
  <c r="A78" i="3"/>
  <c r="P77" i="3"/>
  <c r="O77" i="3"/>
  <c r="A77" i="3"/>
  <c r="P76" i="3"/>
  <c r="O76" i="3"/>
  <c r="A76" i="3"/>
  <c r="P75" i="3"/>
  <c r="O75" i="3"/>
  <c r="A75" i="3"/>
  <c r="P74" i="3"/>
  <c r="O74" i="3"/>
  <c r="A74" i="3"/>
  <c r="P73" i="3"/>
  <c r="O73" i="3"/>
  <c r="A73" i="3"/>
  <c r="P72" i="3"/>
  <c r="O72" i="3"/>
  <c r="A72" i="3"/>
  <c r="P71" i="3"/>
  <c r="O71" i="3"/>
  <c r="A71" i="3"/>
  <c r="P70" i="3"/>
  <c r="O70" i="3"/>
  <c r="A70" i="3"/>
  <c r="P69" i="3"/>
  <c r="O69" i="3"/>
  <c r="A69" i="3"/>
  <c r="P68" i="3"/>
  <c r="O68" i="3"/>
  <c r="A68" i="3"/>
  <c r="P67" i="3"/>
  <c r="O67" i="3"/>
  <c r="A67" i="3"/>
  <c r="P66" i="3"/>
  <c r="O66" i="3"/>
  <c r="A66" i="3"/>
  <c r="P65" i="3"/>
  <c r="O65" i="3"/>
  <c r="A65" i="3"/>
  <c r="P64" i="3"/>
  <c r="O64" i="3"/>
  <c r="A64" i="3"/>
  <c r="P63" i="3"/>
  <c r="O63" i="3"/>
  <c r="A63" i="3"/>
  <c r="P62" i="3"/>
  <c r="O62" i="3"/>
  <c r="A62" i="3"/>
  <c r="P61" i="3"/>
  <c r="O61" i="3"/>
  <c r="A61" i="3"/>
  <c r="P60" i="3"/>
  <c r="O60" i="3"/>
  <c r="A60" i="3"/>
  <c r="P59" i="3"/>
  <c r="O59" i="3"/>
  <c r="A59" i="3"/>
  <c r="P58" i="3"/>
  <c r="O58" i="3"/>
  <c r="A58" i="3"/>
  <c r="P57" i="3"/>
  <c r="O57" i="3"/>
  <c r="A57" i="3"/>
  <c r="P56" i="3"/>
  <c r="O56" i="3"/>
  <c r="A56" i="3"/>
  <c r="P55" i="3"/>
  <c r="O55" i="3"/>
  <c r="A55" i="3"/>
  <c r="P54" i="3"/>
  <c r="O54" i="3"/>
  <c r="A54" i="3"/>
  <c r="P53" i="3"/>
  <c r="O53" i="3"/>
  <c r="A53" i="3"/>
  <c r="P52" i="3"/>
  <c r="O52" i="3"/>
  <c r="A52" i="3"/>
  <c r="P51" i="3"/>
  <c r="O51" i="3"/>
  <c r="A51" i="3"/>
  <c r="P50" i="3"/>
  <c r="O50" i="3"/>
  <c r="A50" i="3"/>
  <c r="P49" i="3"/>
  <c r="O49" i="3"/>
  <c r="A49" i="3"/>
  <c r="P48" i="3"/>
  <c r="O48" i="3"/>
  <c r="A48" i="3"/>
  <c r="P47" i="3"/>
  <c r="O47" i="3"/>
  <c r="A47" i="3"/>
  <c r="P46" i="3"/>
  <c r="O46" i="3"/>
  <c r="A46" i="3"/>
  <c r="P45" i="3"/>
  <c r="O45" i="3"/>
  <c r="A45" i="3"/>
  <c r="P44" i="3"/>
  <c r="O44" i="3"/>
  <c r="A44" i="3"/>
  <c r="P43" i="3"/>
  <c r="O43" i="3"/>
  <c r="A43" i="3"/>
  <c r="P42" i="3"/>
  <c r="O42" i="3"/>
  <c r="A42" i="3"/>
  <c r="P41" i="3"/>
  <c r="O41" i="3"/>
  <c r="A41" i="3"/>
  <c r="P40" i="3"/>
  <c r="O40" i="3"/>
  <c r="A40" i="3"/>
  <c r="P39" i="3"/>
  <c r="O39" i="3"/>
  <c r="A39" i="3"/>
  <c r="P38" i="3"/>
  <c r="O38" i="3"/>
  <c r="A38" i="3"/>
  <c r="P37" i="3"/>
  <c r="O37" i="3"/>
  <c r="A37" i="3"/>
  <c r="P36" i="3"/>
  <c r="O36" i="3"/>
  <c r="A36" i="3"/>
  <c r="P35" i="3"/>
  <c r="O35" i="3"/>
  <c r="A35" i="3"/>
  <c r="P34" i="3"/>
  <c r="O34" i="3"/>
  <c r="A34" i="3"/>
  <c r="P33" i="3"/>
  <c r="O33" i="3"/>
  <c r="A33" i="3"/>
  <c r="P32" i="3"/>
  <c r="O32" i="3"/>
  <c r="A32" i="3"/>
  <c r="P31" i="3"/>
  <c r="O31" i="3"/>
  <c r="A31" i="3"/>
  <c r="P30" i="3"/>
  <c r="O30" i="3"/>
  <c r="A30" i="3"/>
  <c r="P29" i="3"/>
  <c r="O29" i="3"/>
  <c r="A29" i="3"/>
  <c r="P28" i="3"/>
  <c r="O28" i="3"/>
  <c r="A28" i="3"/>
  <c r="P27" i="3"/>
  <c r="O27" i="3"/>
  <c r="A27" i="3"/>
  <c r="P26" i="3"/>
  <c r="O26" i="3"/>
  <c r="A26" i="3"/>
  <c r="P25" i="3"/>
  <c r="O25" i="3"/>
  <c r="A25" i="3"/>
  <c r="P24" i="3"/>
  <c r="O24" i="3"/>
  <c r="A24" i="3"/>
  <c r="P23" i="3"/>
  <c r="O23" i="3"/>
  <c r="A23" i="3"/>
  <c r="P22" i="3"/>
  <c r="O22" i="3"/>
  <c r="A22" i="3"/>
  <c r="P21" i="3"/>
  <c r="O21" i="3"/>
  <c r="A21" i="3"/>
  <c r="P20" i="3"/>
  <c r="O20" i="3"/>
  <c r="A20" i="3"/>
  <c r="P19" i="3"/>
  <c r="O19" i="3"/>
  <c r="A19" i="3"/>
  <c r="P18" i="3"/>
  <c r="O18" i="3"/>
  <c r="A18" i="3"/>
  <c r="P17" i="3"/>
  <c r="O17" i="3"/>
  <c r="A17" i="3"/>
  <c r="P16" i="3"/>
  <c r="O16" i="3"/>
  <c r="A16" i="3"/>
  <c r="P15" i="3"/>
  <c r="O15" i="3"/>
  <c r="A15" i="3"/>
  <c r="P14" i="3"/>
  <c r="O14" i="3"/>
  <c r="A14" i="3"/>
  <c r="P13" i="3"/>
  <c r="O13" i="3"/>
  <c r="A13" i="3"/>
  <c r="P12" i="3"/>
  <c r="O12" i="3"/>
  <c r="A12" i="3"/>
  <c r="P11" i="3"/>
  <c r="O11" i="3"/>
  <c r="A11" i="3"/>
  <c r="P10" i="3"/>
  <c r="O10" i="3"/>
  <c r="A10" i="3"/>
  <c r="P9" i="3"/>
  <c r="O9" i="3"/>
  <c r="A9" i="3"/>
  <c r="P8" i="3"/>
  <c r="O8" i="3"/>
  <c r="A8" i="3"/>
  <c r="P7" i="3"/>
  <c r="O7" i="3"/>
  <c r="A7" i="3"/>
  <c r="P6" i="3"/>
  <c r="O6" i="3"/>
  <c r="A6" i="3"/>
  <c r="P5" i="3"/>
  <c r="O5" i="3"/>
  <c r="A5" i="3"/>
  <c r="P4" i="3"/>
  <c r="O4" i="3"/>
  <c r="A4" i="3"/>
  <c r="AI304" i="2"/>
  <c r="A304" i="2"/>
  <c r="AI303" i="2"/>
  <c r="A303" i="2"/>
  <c r="AI302" i="2"/>
  <c r="A302" i="2"/>
  <c r="AI301" i="2"/>
  <c r="A301" i="2"/>
  <c r="AI300" i="2"/>
  <c r="A300" i="2"/>
  <c r="AI299" i="2"/>
  <c r="A299" i="2"/>
  <c r="AI298" i="2"/>
  <c r="A298" i="2"/>
  <c r="AI297" i="2"/>
  <c r="A297" i="2"/>
  <c r="AI296" i="2"/>
  <c r="A296" i="2"/>
  <c r="AI295" i="2"/>
  <c r="A295" i="2"/>
  <c r="AI294" i="2"/>
  <c r="A294" i="2"/>
  <c r="AI293" i="2"/>
  <c r="A293" i="2"/>
  <c r="AI292" i="2"/>
  <c r="A292" i="2"/>
  <c r="AI291" i="2"/>
  <c r="A291" i="2"/>
  <c r="AI290" i="2"/>
  <c r="A290" i="2"/>
  <c r="AI289" i="2"/>
  <c r="A289" i="2"/>
  <c r="AI288" i="2"/>
  <c r="A288" i="2"/>
  <c r="AI287" i="2"/>
  <c r="A287" i="2"/>
  <c r="AI286" i="2"/>
  <c r="A286" i="2"/>
  <c r="AI285" i="2"/>
  <c r="A285" i="2"/>
  <c r="AI284" i="2"/>
  <c r="A284" i="2"/>
  <c r="AI283" i="2"/>
  <c r="A283" i="2"/>
  <c r="AI282" i="2"/>
  <c r="A282" i="2"/>
  <c r="AI281" i="2"/>
  <c r="A281" i="2"/>
  <c r="AI280" i="2"/>
  <c r="A280" i="2"/>
  <c r="AI279" i="2"/>
  <c r="A279" i="2"/>
  <c r="AI278" i="2"/>
  <c r="A278" i="2"/>
  <c r="AI277" i="2"/>
  <c r="A277" i="2"/>
  <c r="AI276" i="2"/>
  <c r="A276" i="2"/>
  <c r="AI275" i="2"/>
  <c r="A275" i="2"/>
  <c r="AI274" i="2"/>
  <c r="A274" i="2"/>
  <c r="AI273" i="2"/>
  <c r="A273" i="2"/>
  <c r="AI272" i="2"/>
  <c r="A272" i="2"/>
  <c r="AI271" i="2"/>
  <c r="A271" i="2"/>
  <c r="AI270" i="2"/>
  <c r="A270" i="2"/>
  <c r="AI269" i="2"/>
  <c r="A269" i="2"/>
  <c r="AI268" i="2"/>
  <c r="A268" i="2"/>
  <c r="AI267" i="2"/>
  <c r="A267" i="2"/>
  <c r="AI266" i="2"/>
  <c r="A266" i="2"/>
  <c r="AI265" i="2"/>
  <c r="A265" i="2"/>
  <c r="AI264" i="2"/>
  <c r="A264" i="2"/>
  <c r="AI263" i="2"/>
  <c r="A263" i="2"/>
  <c r="AI262" i="2"/>
  <c r="A262" i="2"/>
  <c r="AI261" i="2"/>
  <c r="A261" i="2"/>
  <c r="AI260" i="2"/>
  <c r="A260" i="2"/>
  <c r="AI259" i="2"/>
  <c r="A259" i="2"/>
  <c r="AI258" i="2"/>
  <c r="A258" i="2"/>
  <c r="AI257" i="2"/>
  <c r="A257" i="2"/>
  <c r="AI256" i="2"/>
  <c r="A256" i="2"/>
  <c r="AI255" i="2"/>
  <c r="A255" i="2"/>
  <c r="AI254" i="2"/>
  <c r="A254" i="2"/>
  <c r="AI253" i="2"/>
  <c r="A253" i="2"/>
  <c r="AI252" i="2"/>
  <c r="A252" i="2"/>
  <c r="AI251" i="2"/>
  <c r="A251" i="2"/>
  <c r="AI250" i="2"/>
  <c r="A250" i="2"/>
  <c r="AI249" i="2"/>
  <c r="A249" i="2"/>
  <c r="AI248" i="2"/>
  <c r="A248" i="2"/>
  <c r="AI247" i="2"/>
  <c r="A247" i="2"/>
  <c r="AI246" i="2"/>
  <c r="A246" i="2"/>
  <c r="AI245" i="2"/>
  <c r="A245" i="2"/>
  <c r="AI244" i="2"/>
  <c r="A244" i="2"/>
  <c r="AI243" i="2"/>
  <c r="A243" i="2"/>
  <c r="AI242" i="2"/>
  <c r="A242" i="2"/>
  <c r="AI241" i="2"/>
  <c r="A241" i="2"/>
  <c r="AI240" i="2"/>
  <c r="A240" i="2"/>
  <c r="AI239" i="2"/>
  <c r="A239" i="2"/>
  <c r="AI238" i="2"/>
  <c r="A238" i="2"/>
  <c r="AI237" i="2"/>
  <c r="A237" i="2"/>
  <c r="AI236" i="2"/>
  <c r="A236" i="2"/>
  <c r="AI235" i="2"/>
  <c r="A235" i="2"/>
  <c r="AI234" i="2"/>
  <c r="A234" i="2"/>
  <c r="AI233" i="2"/>
  <c r="A233" i="2"/>
  <c r="AI232" i="2"/>
  <c r="A232" i="2"/>
  <c r="AI231" i="2"/>
  <c r="A231" i="2"/>
  <c r="AI230" i="2"/>
  <c r="A230" i="2"/>
  <c r="AI229" i="2"/>
  <c r="A229" i="2"/>
  <c r="AI228" i="2"/>
  <c r="A228" i="2"/>
  <c r="AI227" i="2"/>
  <c r="A227" i="2"/>
  <c r="AI226" i="2"/>
  <c r="A226" i="2"/>
  <c r="AI225" i="2"/>
  <c r="A225" i="2"/>
  <c r="AI224" i="2"/>
  <c r="A224" i="2"/>
  <c r="AI223" i="2"/>
  <c r="A223" i="2"/>
  <c r="AI222" i="2"/>
  <c r="A222" i="2"/>
  <c r="AI221" i="2"/>
  <c r="A221" i="2"/>
  <c r="AI220" i="2"/>
  <c r="A220" i="2"/>
  <c r="AI219" i="2"/>
  <c r="A219" i="2"/>
  <c r="AI218" i="2"/>
  <c r="A218" i="2"/>
  <c r="AI217" i="2"/>
  <c r="A217" i="2"/>
  <c r="AI216" i="2"/>
  <c r="A216" i="2"/>
  <c r="AI215" i="2"/>
  <c r="A215" i="2"/>
  <c r="AI214" i="2"/>
  <c r="A214" i="2"/>
  <c r="AI213" i="2"/>
  <c r="A213" i="2"/>
  <c r="AI212" i="2"/>
  <c r="A212" i="2"/>
  <c r="AI211" i="2"/>
  <c r="A211" i="2"/>
  <c r="AI210" i="2"/>
  <c r="A210" i="2"/>
  <c r="AI209" i="2"/>
  <c r="A209" i="2"/>
  <c r="AI208" i="2"/>
  <c r="A208" i="2"/>
  <c r="AI207" i="2"/>
  <c r="A207" i="2"/>
  <c r="AI206" i="2"/>
  <c r="A206" i="2"/>
  <c r="AI205" i="2"/>
  <c r="A205" i="2"/>
  <c r="AI204" i="2"/>
  <c r="A204" i="2"/>
  <c r="AI203" i="2"/>
  <c r="A203" i="2"/>
  <c r="AI202" i="2"/>
  <c r="A202" i="2"/>
  <c r="AI201" i="2"/>
  <c r="A201" i="2"/>
  <c r="AI200" i="2"/>
  <c r="A200" i="2"/>
  <c r="AI199" i="2"/>
  <c r="A199" i="2"/>
  <c r="AI198" i="2"/>
  <c r="A198" i="2"/>
  <c r="AI197" i="2"/>
  <c r="A197" i="2"/>
  <c r="AI196" i="2"/>
  <c r="A196" i="2"/>
  <c r="AI195" i="2"/>
  <c r="A195" i="2"/>
  <c r="AI194" i="2"/>
  <c r="A194" i="2"/>
  <c r="AI193" i="2"/>
  <c r="A193" i="2"/>
  <c r="AI192" i="2"/>
  <c r="A192" i="2"/>
  <c r="AI191" i="2"/>
  <c r="A191" i="2"/>
  <c r="AI190" i="2"/>
  <c r="A190" i="2"/>
  <c r="AI189" i="2"/>
  <c r="A189" i="2"/>
  <c r="AI188" i="2"/>
  <c r="A188" i="2"/>
  <c r="AI187" i="2"/>
  <c r="A187" i="2"/>
  <c r="AI186" i="2"/>
  <c r="A186" i="2"/>
  <c r="AI185" i="2"/>
  <c r="A185" i="2"/>
  <c r="AI184" i="2"/>
  <c r="A184" i="2"/>
  <c r="AI183" i="2"/>
  <c r="A183" i="2"/>
  <c r="AI182" i="2"/>
  <c r="A182" i="2"/>
  <c r="AI181" i="2"/>
  <c r="A181" i="2"/>
  <c r="AI180" i="2"/>
  <c r="A180" i="2"/>
  <c r="AI179" i="2"/>
  <c r="A179" i="2"/>
  <c r="AI178" i="2"/>
  <c r="A178" i="2"/>
  <c r="AI177" i="2"/>
  <c r="A177" i="2"/>
  <c r="AI176" i="2"/>
  <c r="A176" i="2"/>
  <c r="AI175" i="2"/>
  <c r="A175" i="2"/>
  <c r="AI174" i="2"/>
  <c r="A174" i="2"/>
  <c r="AI173" i="2"/>
  <c r="A173" i="2"/>
  <c r="AI172" i="2"/>
  <c r="A172" i="2"/>
  <c r="AI171" i="2"/>
  <c r="A171" i="2"/>
  <c r="AI170" i="2"/>
  <c r="A170" i="2"/>
  <c r="AI169" i="2"/>
  <c r="A169" i="2"/>
  <c r="AI168" i="2"/>
  <c r="A168" i="2"/>
  <c r="AI167" i="2"/>
  <c r="A167" i="2"/>
  <c r="AI166" i="2"/>
  <c r="A166" i="2"/>
  <c r="AI165" i="2"/>
  <c r="A165" i="2"/>
  <c r="AI164" i="2"/>
  <c r="A164" i="2"/>
  <c r="AI163" i="2"/>
  <c r="A163" i="2"/>
  <c r="AI162" i="2"/>
  <c r="A162" i="2"/>
  <c r="AI161" i="2"/>
  <c r="A161" i="2"/>
  <c r="AI160" i="2"/>
  <c r="A160" i="2"/>
  <c r="AI159" i="2"/>
  <c r="A159" i="2"/>
  <c r="AI158" i="2"/>
  <c r="A158" i="2"/>
  <c r="AI157" i="2"/>
  <c r="A157" i="2"/>
  <c r="AI156" i="2"/>
  <c r="A156" i="2"/>
  <c r="AI155" i="2"/>
  <c r="A155" i="2"/>
  <c r="AI154" i="2"/>
  <c r="A154" i="2"/>
  <c r="AI153" i="2"/>
  <c r="A153" i="2"/>
  <c r="AI152" i="2"/>
  <c r="A152" i="2"/>
  <c r="AI151" i="2"/>
  <c r="A151" i="2"/>
  <c r="AI150" i="2"/>
  <c r="A150" i="2"/>
  <c r="AI149" i="2"/>
  <c r="A149" i="2"/>
  <c r="AI148" i="2"/>
  <c r="A148" i="2"/>
  <c r="AI147" i="2"/>
  <c r="A147" i="2"/>
  <c r="AI146" i="2"/>
  <c r="A146" i="2"/>
  <c r="AI145" i="2"/>
  <c r="A145" i="2"/>
  <c r="AI144" i="2"/>
  <c r="A144" i="2"/>
  <c r="AI143" i="2"/>
  <c r="A143" i="2"/>
  <c r="AI142" i="2"/>
  <c r="A142" i="2"/>
  <c r="AI141" i="2"/>
  <c r="A141" i="2"/>
  <c r="AI140" i="2"/>
  <c r="A140" i="2"/>
  <c r="AI139" i="2"/>
  <c r="A139" i="2"/>
  <c r="AI138" i="2"/>
  <c r="A138" i="2"/>
  <c r="AI137" i="2"/>
  <c r="A137" i="2"/>
  <c r="AI136" i="2"/>
  <c r="A136" i="2"/>
  <c r="AI135" i="2"/>
  <c r="A135" i="2"/>
  <c r="AI134" i="2"/>
  <c r="A134" i="2"/>
  <c r="AI133" i="2"/>
  <c r="A133" i="2"/>
  <c r="AI132" i="2"/>
  <c r="A132" i="2"/>
  <c r="AI131" i="2"/>
  <c r="A131" i="2"/>
  <c r="AI130" i="2"/>
  <c r="A130" i="2"/>
  <c r="AI129" i="2"/>
  <c r="A129" i="2"/>
  <c r="AI128" i="2"/>
  <c r="A128" i="2"/>
  <c r="AI127" i="2"/>
  <c r="A127" i="2"/>
  <c r="AI126" i="2"/>
  <c r="A126" i="2"/>
  <c r="AI125" i="2"/>
  <c r="A125" i="2"/>
  <c r="AI124" i="2"/>
  <c r="A124" i="2"/>
  <c r="AI123" i="2"/>
  <c r="A123" i="2"/>
  <c r="AI122" i="2"/>
  <c r="A122" i="2"/>
  <c r="AI121" i="2"/>
  <c r="A121" i="2"/>
  <c r="AI120" i="2"/>
  <c r="A120" i="2"/>
  <c r="AI119" i="2"/>
  <c r="A119" i="2"/>
  <c r="AI118" i="2"/>
  <c r="A118" i="2"/>
  <c r="AI117" i="2"/>
  <c r="A117" i="2"/>
  <c r="AI116" i="2"/>
  <c r="A116" i="2"/>
  <c r="AI115" i="2"/>
  <c r="A115" i="2"/>
  <c r="AI114" i="2"/>
  <c r="A114" i="2"/>
  <c r="AI113" i="2"/>
  <c r="A113" i="2"/>
  <c r="AI112" i="2"/>
  <c r="A112" i="2"/>
  <c r="AI111" i="2"/>
  <c r="A111" i="2"/>
  <c r="AI110" i="2"/>
  <c r="A110" i="2"/>
  <c r="AI109" i="2"/>
  <c r="A109" i="2"/>
  <c r="AI108" i="2"/>
  <c r="A108" i="2"/>
  <c r="AI107" i="2"/>
  <c r="A107" i="2"/>
  <c r="AI106" i="2"/>
  <c r="A106" i="2"/>
  <c r="AI105" i="2"/>
  <c r="A105" i="2"/>
  <c r="AI104" i="2"/>
  <c r="A104" i="2"/>
  <c r="AI103" i="2"/>
  <c r="A103" i="2"/>
  <c r="AI102" i="2"/>
  <c r="A102" i="2"/>
  <c r="AI101" i="2"/>
  <c r="A101" i="2"/>
  <c r="AI100" i="2"/>
  <c r="A100" i="2"/>
  <c r="AI99" i="2"/>
  <c r="A99" i="2"/>
  <c r="AI98" i="2"/>
  <c r="A98" i="2"/>
  <c r="AI97" i="2"/>
  <c r="A97" i="2"/>
  <c r="AI96" i="2"/>
  <c r="A96" i="2"/>
  <c r="AI95" i="2"/>
  <c r="A95" i="2"/>
  <c r="AI94" i="2"/>
  <c r="A94" i="2"/>
  <c r="AI93" i="2"/>
  <c r="A93" i="2"/>
  <c r="AI92" i="2"/>
  <c r="A92" i="2"/>
  <c r="AI91" i="2"/>
  <c r="A91" i="2"/>
  <c r="AI90" i="2"/>
  <c r="A90" i="2"/>
  <c r="AI89" i="2"/>
  <c r="A89" i="2"/>
  <c r="AI88" i="2"/>
  <c r="A88" i="2"/>
  <c r="AI87" i="2"/>
  <c r="A87" i="2"/>
  <c r="AI86" i="2"/>
  <c r="A86" i="2"/>
  <c r="AI85" i="2"/>
  <c r="A85" i="2"/>
  <c r="AI84" i="2"/>
  <c r="A84" i="2"/>
  <c r="AI83" i="2"/>
  <c r="A83" i="2"/>
  <c r="AI82" i="2"/>
  <c r="A82" i="2"/>
  <c r="AI81" i="2"/>
  <c r="A81" i="2"/>
  <c r="AI80" i="2"/>
  <c r="A80" i="2"/>
  <c r="AI79" i="2"/>
  <c r="A79" i="2"/>
  <c r="AI78" i="2"/>
  <c r="A78" i="2"/>
  <c r="AI77" i="2"/>
  <c r="A77" i="2"/>
  <c r="AI76" i="2"/>
  <c r="A76" i="2"/>
  <c r="AI75" i="2"/>
  <c r="A75" i="2"/>
  <c r="AI74" i="2"/>
  <c r="A74" i="2"/>
  <c r="AI73" i="2"/>
  <c r="A73" i="2"/>
  <c r="AI72" i="2"/>
  <c r="A72" i="2"/>
  <c r="AI71" i="2"/>
  <c r="A71" i="2"/>
  <c r="AI70" i="2"/>
  <c r="A70" i="2"/>
  <c r="AI69" i="2"/>
  <c r="A69" i="2"/>
  <c r="AI68" i="2"/>
  <c r="A68" i="2"/>
  <c r="AI67" i="2"/>
  <c r="A67" i="2"/>
  <c r="AI66" i="2"/>
  <c r="A66" i="2"/>
  <c r="AI65" i="2"/>
  <c r="A65" i="2"/>
  <c r="AI64" i="2"/>
  <c r="A64" i="2"/>
  <c r="AI63" i="2"/>
  <c r="A63" i="2"/>
  <c r="AI62" i="2"/>
  <c r="A62" i="2"/>
  <c r="AI61" i="2"/>
  <c r="A61" i="2"/>
  <c r="AI60" i="2"/>
  <c r="A60" i="2"/>
  <c r="AI59" i="2"/>
  <c r="A59" i="2"/>
  <c r="AI58" i="2"/>
  <c r="A58" i="2"/>
  <c r="AI57" i="2"/>
  <c r="A57" i="2"/>
  <c r="AI56" i="2"/>
  <c r="A56" i="2"/>
  <c r="AI55" i="2"/>
  <c r="A55" i="2"/>
  <c r="AI54" i="2"/>
  <c r="A54" i="2"/>
  <c r="AI53" i="2"/>
  <c r="A53" i="2"/>
  <c r="AI52" i="2"/>
  <c r="A52" i="2"/>
  <c r="AI51" i="2"/>
  <c r="A51" i="2"/>
  <c r="AI50" i="2"/>
  <c r="A50" i="2"/>
  <c r="AI49" i="2"/>
  <c r="A49" i="2"/>
  <c r="AI48" i="2"/>
  <c r="A48" i="2"/>
  <c r="AI47" i="2"/>
  <c r="A47" i="2"/>
  <c r="AI46" i="2"/>
  <c r="A46" i="2"/>
  <c r="AI45" i="2"/>
  <c r="A45" i="2"/>
  <c r="AI44" i="2"/>
  <c r="A44" i="2"/>
  <c r="AI43" i="2"/>
  <c r="A43" i="2"/>
  <c r="AI42" i="2"/>
  <c r="A42" i="2"/>
  <c r="AI41" i="2"/>
  <c r="A41" i="2"/>
  <c r="AI40" i="2"/>
  <c r="A40" i="2"/>
  <c r="AI39" i="2"/>
  <c r="A39" i="2"/>
  <c r="AI38" i="2"/>
  <c r="A38" i="2"/>
  <c r="AI37" i="2"/>
  <c r="A37" i="2"/>
  <c r="AI36" i="2"/>
  <c r="A36" i="2"/>
  <c r="AI35" i="2"/>
  <c r="A35" i="2"/>
  <c r="AI34" i="2"/>
  <c r="A34" i="2"/>
  <c r="AI33" i="2"/>
  <c r="A33" i="2"/>
  <c r="AI32" i="2"/>
  <c r="A32" i="2"/>
  <c r="AI31" i="2"/>
  <c r="A31" i="2"/>
  <c r="AI30" i="2"/>
  <c r="A30" i="2"/>
  <c r="AI29" i="2"/>
  <c r="A29" i="2"/>
  <c r="AI28" i="2"/>
  <c r="A28" i="2"/>
  <c r="AI27" i="2"/>
  <c r="A27" i="2"/>
  <c r="AI26" i="2"/>
  <c r="A26" i="2"/>
  <c r="AI25" i="2"/>
  <c r="A25" i="2"/>
  <c r="AI24" i="2"/>
  <c r="A24" i="2"/>
  <c r="AI23" i="2"/>
  <c r="A23" i="2"/>
  <c r="AI22" i="2"/>
  <c r="A22" i="2"/>
  <c r="AI21" i="2"/>
  <c r="A21" i="2"/>
  <c r="AI20" i="2"/>
  <c r="A20" i="2"/>
  <c r="AI19" i="2"/>
  <c r="A19" i="2"/>
  <c r="AI18" i="2"/>
  <c r="A18" i="2"/>
  <c r="AI17" i="2"/>
  <c r="A17" i="2"/>
  <c r="AI16" i="2"/>
  <c r="A16" i="2"/>
  <c r="AI15" i="2"/>
  <c r="A15" i="2"/>
  <c r="AI14" i="2"/>
  <c r="A14" i="2"/>
  <c r="AI13" i="2"/>
  <c r="A13" i="2"/>
  <c r="AI12" i="2"/>
  <c r="A12" i="2"/>
  <c r="AI11" i="2"/>
  <c r="A11" i="2"/>
  <c r="AI10" i="2"/>
  <c r="A10" i="2"/>
  <c r="AI9" i="2"/>
  <c r="A9" i="2"/>
  <c r="AI8" i="2"/>
  <c r="A8" i="2"/>
  <c r="AI7" i="2"/>
  <c r="A7" i="2"/>
  <c r="AI6" i="2"/>
  <c r="A6" i="2"/>
  <c r="AI5" i="2"/>
  <c r="A5" i="2"/>
  <c r="B11" i="5" l="1"/>
</calcChain>
</file>

<file path=xl/sharedStrings.xml><?xml version="1.0" encoding="utf-8"?>
<sst xmlns="http://schemas.openxmlformats.org/spreadsheetml/2006/main" count="264" uniqueCount="224">
  <si>
    <t>Relationship Status</t>
  </si>
  <si>
    <t>Lead Source</t>
  </si>
  <si>
    <t>Outreach Motion</t>
  </si>
  <si>
    <t>Opportunity Stage</t>
  </si>
  <si>
    <t>Outcome</t>
  </si>
  <si>
    <t>CASL Basis</t>
  </si>
  <si>
    <t>Next Action Type</t>
  </si>
  <si>
    <t>Metric Definition</t>
  </si>
  <si>
    <t>Definition</t>
  </si>
  <si>
    <t>Cold Prospect</t>
  </si>
  <si>
    <t>ACEC-Ontario</t>
  </si>
  <si>
    <t>Cold Outreach</t>
  </si>
  <si>
    <t>Potential Need Identified</t>
  </si>
  <si>
    <t>Open</t>
  </si>
  <si>
    <t>Express Consent</t>
  </si>
  <si>
    <t>Send Introduction</t>
  </si>
  <si>
    <t>Cold Outreach Reply Rate</t>
  </si>
  <si>
    <t>Replies / Cold outreach contacts</t>
  </si>
  <si>
    <t>Contacted</t>
  </si>
  <si>
    <t>LinkedIn Prospecting</t>
  </si>
  <si>
    <t>Event Outreach</t>
  </si>
  <si>
    <t>Qualification Conversation</t>
  </si>
  <si>
    <t>Won</t>
  </si>
  <si>
    <t>Existing Business Relationship</t>
  </si>
  <si>
    <t>Send Follow-up</t>
  </si>
  <si>
    <t>Meeting Conversion</t>
  </si>
  <si>
    <t>Meetings / Contacts reached</t>
  </si>
  <si>
    <t>Responded</t>
  </si>
  <si>
    <t>Conference</t>
  </si>
  <si>
    <t>Post-Event Follow-up</t>
  </si>
  <si>
    <t>Active Project Discussion</t>
  </si>
  <si>
    <t>Lost</t>
  </si>
  <si>
    <t>Existing Non-Business Relationship</t>
  </si>
  <si>
    <t>Schedule Meeting</t>
  </si>
  <si>
    <t>Opportunity Conversion</t>
  </si>
  <si>
    <t>Opportunities / Contacts reached</t>
  </si>
  <si>
    <t>Met</t>
  </si>
  <si>
    <t>Tradeshow</t>
  </si>
  <si>
    <t>Lead Nurture</t>
  </si>
  <si>
    <t>Proposal / RFP</t>
  </si>
  <si>
    <t>Delayed</t>
  </si>
  <si>
    <t>Conspicuous Publication / Role Relevant</t>
  </si>
  <si>
    <t>Send Case Study</t>
  </si>
  <si>
    <t>Win Rate</t>
  </si>
  <si>
    <t>Won / Decided opportunities</t>
  </si>
  <si>
    <t>Engaged</t>
  </si>
  <si>
    <t>Industry Event</t>
  </si>
  <si>
    <t>Opportunity Follow-up</t>
  </si>
  <si>
    <t>Decision Pending</t>
  </si>
  <si>
    <t>No Engagement</t>
  </si>
  <si>
    <t>Referral / Third-Party Introduction</t>
  </si>
  <si>
    <t>Personal Check-in</t>
  </si>
  <si>
    <t>Awareness-to-Opportunity</t>
  </si>
  <si>
    <t>First contact date to opportunity created date</t>
  </si>
  <si>
    <t>Potential Opportunity</t>
  </si>
  <si>
    <t>Referral</t>
  </si>
  <si>
    <t>Referral Relationship</t>
  </si>
  <si>
    <t>Not Interested</t>
  </si>
  <si>
    <t>Not Yet Determined</t>
  </si>
  <si>
    <t>Reconnect Later</t>
  </si>
  <si>
    <t>Opportunity-to-Decision</t>
  </si>
  <si>
    <t>Opportunity created date to decision date</t>
  </si>
  <si>
    <t>Active Opportunity</t>
  </si>
  <si>
    <t>Existing Contact</t>
  </si>
  <si>
    <t>Do Not Contact</t>
  </si>
  <si>
    <t>Follow-up Completion</t>
  </si>
  <si>
    <t>Completed follow-ups / follow-ups due</t>
  </si>
  <si>
    <t>Dormant Opportunity</t>
  </si>
  <si>
    <t>Website Inquiry</t>
  </si>
  <si>
    <t>No Action</t>
  </si>
  <si>
    <t>Source Effectiveness</t>
  </si>
  <si>
    <t>Contacts → Meetings → Opportunities → Wins → Revenue</t>
  </si>
  <si>
    <t>Referral Source</t>
  </si>
  <si>
    <t>Other</t>
  </si>
  <si>
    <t>Client</t>
  </si>
  <si>
    <t>Closed / Do Not Contact</t>
  </si>
  <si>
    <t>PGGC Lead &amp; Relationship Tracker</t>
  </si>
  <si>
    <t>Enter every relevant contact here. The critical operating rule is: every active relationship should have a Next Action and Next Action Date.</t>
  </si>
  <si>
    <t>Contact ID</t>
  </si>
  <si>
    <t>First Name</t>
  </si>
  <si>
    <t>Last Name</t>
  </si>
  <si>
    <t>Job Title</t>
  </si>
  <si>
    <t>Company</t>
  </si>
  <si>
    <t>Email</t>
  </si>
  <si>
    <t>LinkedIn URL</t>
  </si>
  <si>
    <t>Location</t>
  </si>
  <si>
    <t>Specific Source / Event</t>
  </si>
  <si>
    <t>Referring Person</t>
  </si>
  <si>
    <t>Date First Identified</t>
  </si>
  <si>
    <t>Date First Contacted</t>
  </si>
  <si>
    <t>Date First Met</t>
  </si>
  <si>
    <t>Last Interaction Date</t>
  </si>
  <si>
    <t>Last Interaction Type</t>
  </si>
  <si>
    <t>Conversation Notes</t>
  </si>
  <si>
    <t>Next Action</t>
  </si>
  <si>
    <t>Next Action Date</t>
  </si>
  <si>
    <t>Owner</t>
  </si>
  <si>
    <t>Email Source / Where Found</t>
  </si>
  <si>
    <t>Consent / Basis Date</t>
  </si>
  <si>
    <t>Unsubscribed?</t>
  </si>
  <si>
    <t>Unsubscribe Date</t>
  </si>
  <si>
    <t>Opportunity?</t>
  </si>
  <si>
    <t>Opportunity ID</t>
  </si>
  <si>
    <t>Estimated Opportunity Value</t>
  </si>
  <si>
    <t>Closed Reason</t>
  </si>
  <si>
    <t>Last Updated</t>
  </si>
  <si>
    <t>Days Until Next Action</t>
  </si>
  <si>
    <t>PGGC Opportunity Tracker</t>
  </si>
  <si>
    <t>Opportunity / Project</t>
  </si>
  <si>
    <t>Primary Contact</t>
  </si>
  <si>
    <t>Date Opportunity Created</t>
  </si>
  <si>
    <t>Expected Project Timing</t>
  </si>
  <si>
    <t>Estimated Value</t>
  </si>
  <si>
    <t>Stage</t>
  </si>
  <si>
    <t>Proposal Requested?</t>
  </si>
  <si>
    <t>Proposal Date</t>
  </si>
  <si>
    <t>Decision Date</t>
  </si>
  <si>
    <t>Reason Won / Lost / Delayed</t>
  </si>
  <si>
    <t>Awareness-to-Opportunity Days</t>
  </si>
  <si>
    <t>Opportunity-to-Decision Days</t>
  </si>
  <si>
    <t>PGGC Weekly Business Development Review</t>
  </si>
  <si>
    <t>Weekly Question</t>
  </si>
  <si>
    <t>What to review</t>
  </si>
  <si>
    <t>Contact</t>
  </si>
  <si>
    <t>Status</t>
  </si>
  <si>
    <t>Days Until Due</t>
  </si>
  <si>
    <t>Who requires a follow-up this week?</t>
  </si>
  <si>
    <t>Who has gone quiet?</t>
  </si>
  <si>
    <t>What events are approaching?</t>
  </si>
  <si>
    <t>Who should Angel meet there?</t>
  </si>
  <si>
    <t>Have any conversations become genuine opportunities?</t>
  </si>
  <si>
    <t>PGGC Lead Generation &amp; Nurture Dashboard</t>
  </si>
  <si>
    <t>Core KPI</t>
  </si>
  <si>
    <t>Value</t>
  </si>
  <si>
    <t>Contacts</t>
  </si>
  <si>
    <t>Meetings / Engaged</t>
  </si>
  <si>
    <t>Opportunities</t>
  </si>
  <si>
    <t>Total Contacts</t>
  </si>
  <si>
    <t>Contacts Met</t>
  </si>
  <si>
    <t>Active Opportunities</t>
  </si>
  <si>
    <t>Pipeline Value</t>
  </si>
  <si>
    <t>Won Opportunities</t>
  </si>
  <si>
    <t>Won Revenue</t>
  </si>
  <si>
    <t>Overdue Follow-ups</t>
  </si>
  <si>
    <t>PGGC Email Cadence &amp; Script Guide</t>
  </si>
  <si>
    <t>Motion</t>
  </si>
  <si>
    <t>Timing</t>
  </si>
  <si>
    <t>Purpose</t>
  </si>
  <si>
    <t>Subject / Opening</t>
  </si>
  <si>
    <t>Core Message</t>
  </si>
  <si>
    <t>Next Step</t>
  </si>
  <si>
    <t>Day 1</t>
  </si>
  <si>
    <t>Introduce PGGC</t>
  </si>
  <si>
    <t>PG Consultants introduction</t>
  </si>
  <si>
    <t>Who PGGC is, why the contact is relevant, concise credibility statement</t>
  </si>
  <si>
    <t>Ask for a brief introductory conversation</t>
  </si>
  <si>
    <t>Day 7–10</t>
  </si>
  <si>
    <t>Follow up</t>
  </si>
  <si>
    <t>Follow-up to initial note</t>
  </si>
  <si>
    <t>Remind them why PGGC may be relevant</t>
  </si>
  <si>
    <t>Ask whether a short conversation is useful or not a current priority</t>
  </si>
  <si>
    <t>Day 21–28</t>
  </si>
  <si>
    <t>Final active follow-up</t>
  </si>
  <si>
    <t>Final attempt to connect</t>
  </si>
  <si>
    <t>Leave the door open without pressure</t>
  </si>
  <si>
    <t>Stop active pursuit after this touch</t>
  </si>
  <si>
    <t>2–3 weeks before</t>
  </si>
  <si>
    <t>Schedule event meeting</t>
  </si>
  <si>
    <t>Saw you will be at [Event]</t>
  </si>
  <si>
    <t>Explain why it would be useful to meet</t>
  </si>
  <si>
    <t>Suggest 15 minutes / coffee</t>
  </si>
  <si>
    <t>5–7 days before</t>
  </si>
  <si>
    <t>Reduce friction</t>
  </si>
  <si>
    <t>Circling back before [Event]</t>
  </si>
  <si>
    <t>Keep meeting informal</t>
  </si>
  <si>
    <t>Connect if schedules line up</t>
  </si>
  <si>
    <t>Post-Event</t>
  </si>
  <si>
    <t>Within 24 hours</t>
  </si>
  <si>
    <t>Convert meeting to relationship</t>
  </si>
  <si>
    <t>Reference actual discussion</t>
  </si>
  <si>
    <t>Mention the specific issue or project discussed</t>
  </si>
  <si>
    <t>Assign a concrete next action</t>
  </si>
  <si>
    <t>Every 8–12 weeks</t>
  </si>
  <si>
    <t>Maintain awareness</t>
  </si>
  <si>
    <t>Relevant case study / technical insight</t>
  </si>
  <si>
    <t>Provide useful evidence of expertise</t>
  </si>
  <si>
    <t>No pressure; stay visible</t>
  </si>
  <si>
    <t>Based on known timing</t>
  </si>
  <si>
    <t>Reassess opportunity</t>
  </si>
  <si>
    <t>Reference prior project</t>
  </si>
  <si>
    <t>Ask what has changed</t>
  </si>
  <si>
    <t>Update status and next action</t>
  </si>
  <si>
    <t>Operating Rules</t>
  </si>
  <si>
    <t>Every meaningful contact is entered into the Lead Tracker.</t>
  </si>
  <si>
    <t>After meeting someone, follow up within approximately 24 hours.</t>
  </si>
  <si>
    <t>Every active contact has a Next Action and Next Action Date.</t>
  </si>
  <si>
    <t>Cold outreach is targeted and customized. Do not use purchased lists.</t>
  </si>
  <si>
    <t>After three unanswered cold emails, stop active pursuit.</t>
  </si>
  <si>
    <t>Nurture approximately every 8–12 weeks when there is an appropriate CASL basis.</t>
  </si>
  <si>
    <t>Use case studies and technical evidence as reasons to reconnect.</t>
  </si>
  <si>
    <t>Track lead source so PGGC can compare which activities produce meetings, opportunities, wins and revenue.</t>
  </si>
  <si>
    <t>PGGC CASL Working Notes</t>
  </si>
  <si>
    <t>Requirement</t>
  </si>
  <si>
    <t>Working Rule for PGGC</t>
  </si>
  <si>
    <t>What to Record</t>
  </si>
  <si>
    <t>Reference</t>
  </si>
  <si>
    <t>Consent / valid basis</t>
  </si>
  <si>
    <t>Before sending a commercial email, identify the basis on which PGGC is permitted to contact the person.</t>
  </si>
  <si>
    <t>CASL Basis, source of address, date obtained</t>
  </si>
  <si>
    <t>https://crtc.gc.ca/eng/com500/guide.htm</t>
  </si>
  <si>
    <t>Conspicuous publication</t>
  </si>
  <si>
    <t>A publicly posted business email is not automatically permission. The message must be relevant to the person's business role and there must be no statement against unsolicited messages.</t>
  </si>
  <si>
    <t>Where email was found and why outreach is role-relevant</t>
  </si>
  <si>
    <t>Sender identification</t>
  </si>
  <si>
    <t>Commercial emails should identify the sender and provide required contact information.</t>
  </si>
  <si>
    <t>Handled in Angel's signature / email footer</t>
  </si>
  <si>
    <t>Unsubscribe</t>
  </si>
  <si>
    <t>Where CASL requires an unsubscribe mechanism, requests must be implemented within 10 business days. Operationally, PGGC should stop immediately.</t>
  </si>
  <si>
    <t>Unsubscribed?, Unsubscribe Date</t>
  </si>
  <si>
    <t>https://crtc.gc.ca/eng/com500/faq500.htm</t>
  </si>
  <si>
    <t>Record keeping</t>
  </si>
  <si>
    <t>PGGC should be able to demonstrate its basis for sending the message.</t>
  </si>
  <si>
    <t>Consent / basis fields in Lead Tracker</t>
  </si>
  <si>
    <t>This sheet is an operating aid, not legal advice. PGGC should confirm its CASL compliance approach with qualified legal counsel if there is uncertainty.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</si>
</sst>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10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7F6000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40404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9" fillId="5" borderId="0" xfId="0" applyFont="1" applyFill="1"/>
    <xf numFmtId="165" fontId="5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6" fillId="3" borderId="0" xfId="0" applyFont="1" applyFill="1" applyAlignment="1">
      <alignment vertical="center"/>
    </xf>
    <xf numFmtId="0" fontId="8" fillId="6" borderId="0" xfId="0" applyFont="1" applyFill="1"/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7F7F7F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Lead Source Effectiveness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Contacts</c:v>
          </c:tx>
          <c:invertIfNegative val="1"/>
          <c:cat>
            <c:strRef>
              <c:f>Dashboard!$D$4:$D$12</c:f>
              <c:strCache>
                <c:ptCount val="9"/>
                <c:pt idx="0">
                  <c:v>ACEC-Ontario</c:v>
                </c:pt>
                <c:pt idx="1">
                  <c:v>LinkedIn Prospecting</c:v>
                </c:pt>
                <c:pt idx="2">
                  <c:v>Conference</c:v>
                </c:pt>
                <c:pt idx="3">
                  <c:v>Tradeshow</c:v>
                </c:pt>
                <c:pt idx="4">
                  <c:v>Industry Event</c:v>
                </c:pt>
                <c:pt idx="5">
                  <c:v>Referral</c:v>
                </c:pt>
                <c:pt idx="6">
                  <c:v>Existing Contact</c:v>
                </c:pt>
                <c:pt idx="7">
                  <c:v>Website Inquiry</c:v>
                </c:pt>
                <c:pt idx="8">
                  <c:v>Other</c:v>
                </c:pt>
              </c:strCache>
            </c:strRef>
          </c:cat>
          <c:val>
            <c:numRef>
              <c:f>Dashboard!$E$4:$E$12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6-4944-9634-BF36B2DC7029}"/>
            </c:ext>
          </c:extLst>
        </c:ser>
        <c:ser>
          <c:idx val="1"/>
          <c:order val="1"/>
          <c:tx>
            <c:v>Meetings / Engaged</c:v>
          </c:tx>
          <c:invertIfNegative val="1"/>
          <c:cat>
            <c:strRef>
              <c:f>Dashboard!$D$4:$D$12</c:f>
              <c:strCache>
                <c:ptCount val="9"/>
                <c:pt idx="0">
                  <c:v>ACEC-Ontario</c:v>
                </c:pt>
                <c:pt idx="1">
                  <c:v>LinkedIn Prospecting</c:v>
                </c:pt>
                <c:pt idx="2">
                  <c:v>Conference</c:v>
                </c:pt>
                <c:pt idx="3">
                  <c:v>Tradeshow</c:v>
                </c:pt>
                <c:pt idx="4">
                  <c:v>Industry Event</c:v>
                </c:pt>
                <c:pt idx="5">
                  <c:v>Referral</c:v>
                </c:pt>
                <c:pt idx="6">
                  <c:v>Existing Contact</c:v>
                </c:pt>
                <c:pt idx="7">
                  <c:v>Website Inquiry</c:v>
                </c:pt>
                <c:pt idx="8">
                  <c:v>Other</c:v>
                </c:pt>
              </c:strCache>
            </c:strRef>
          </c:cat>
          <c:val>
            <c:numRef>
              <c:f>Dashboard!$F$4:$F$12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6-4944-9634-BF36B2DC7029}"/>
            </c:ext>
          </c:extLst>
        </c:ser>
        <c:ser>
          <c:idx val="2"/>
          <c:order val="2"/>
          <c:tx>
            <c:v>Opportunities</c:v>
          </c:tx>
          <c:invertIfNegative val="1"/>
          <c:cat>
            <c:strRef>
              <c:f>Dashboard!$D$4:$D$12</c:f>
              <c:strCache>
                <c:ptCount val="9"/>
                <c:pt idx="0">
                  <c:v>ACEC-Ontario</c:v>
                </c:pt>
                <c:pt idx="1">
                  <c:v>LinkedIn Prospecting</c:v>
                </c:pt>
                <c:pt idx="2">
                  <c:v>Conference</c:v>
                </c:pt>
                <c:pt idx="3">
                  <c:v>Tradeshow</c:v>
                </c:pt>
                <c:pt idx="4">
                  <c:v>Industry Event</c:v>
                </c:pt>
                <c:pt idx="5">
                  <c:v>Referral</c:v>
                </c:pt>
                <c:pt idx="6">
                  <c:v>Existing Contact</c:v>
                </c:pt>
                <c:pt idx="7">
                  <c:v>Website Inquiry</c:v>
                </c:pt>
                <c:pt idx="8">
                  <c:v>Other</c:v>
                </c:pt>
              </c:strCache>
            </c:strRef>
          </c:cat>
          <c:val>
            <c:numRef>
              <c:f>Dashboard!$G$4:$G$12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6-4944-9634-BF36B2DC7029}"/>
            </c:ext>
          </c:extLst>
        </c:ser>
        <c:ser>
          <c:idx val="3"/>
          <c:order val="3"/>
          <c:tx>
            <c:v>Won</c:v>
          </c:tx>
          <c:invertIfNegative val="1"/>
          <c:cat>
            <c:strRef>
              <c:f>Dashboard!$D$4:$D$12</c:f>
              <c:strCache>
                <c:ptCount val="9"/>
                <c:pt idx="0">
                  <c:v>ACEC-Ontario</c:v>
                </c:pt>
                <c:pt idx="1">
                  <c:v>LinkedIn Prospecting</c:v>
                </c:pt>
                <c:pt idx="2">
                  <c:v>Conference</c:v>
                </c:pt>
                <c:pt idx="3">
                  <c:v>Tradeshow</c:v>
                </c:pt>
                <c:pt idx="4">
                  <c:v>Industry Event</c:v>
                </c:pt>
                <c:pt idx="5">
                  <c:v>Referral</c:v>
                </c:pt>
                <c:pt idx="6">
                  <c:v>Existing Contact</c:v>
                </c:pt>
                <c:pt idx="7">
                  <c:v>Website Inquiry</c:v>
                </c:pt>
                <c:pt idx="8">
                  <c:v>Other</c:v>
                </c:pt>
              </c:strCache>
            </c:strRef>
          </c:cat>
          <c:val>
            <c:numRef>
              <c:f>Dashboard!$H$4:$H$12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26-4944-9634-BF36B2DC7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dTrackerTable" displayName="LeadTrackerTable" ref="A4:AI304" totalsRowShown="0">
  <tableColumns count="35">
    <tableColumn id="1" xr3:uid="{00000000-0010-0000-0000-000001000000}" name="Contact ID"/>
    <tableColumn id="2" xr3:uid="{00000000-0010-0000-0000-000002000000}" name="First Name"/>
    <tableColumn id="3" xr3:uid="{00000000-0010-0000-0000-000003000000}" name="Last Name"/>
    <tableColumn id="4" xr3:uid="{00000000-0010-0000-0000-000004000000}" name="Job Title"/>
    <tableColumn id="5" xr3:uid="{00000000-0010-0000-0000-000005000000}" name="Company"/>
    <tableColumn id="6" xr3:uid="{00000000-0010-0000-0000-000006000000}" name="Email"/>
    <tableColumn id="7" xr3:uid="{00000000-0010-0000-0000-000007000000}" name="LinkedIn URL"/>
    <tableColumn id="8" xr3:uid="{00000000-0010-0000-0000-000008000000}" name="Location"/>
    <tableColumn id="9" xr3:uid="{00000000-0010-0000-0000-000009000000}" name="Lead Source"/>
    <tableColumn id="10" xr3:uid="{00000000-0010-0000-0000-00000A000000}" name="Specific Source / Event"/>
    <tableColumn id="11" xr3:uid="{00000000-0010-0000-0000-00000B000000}" name="Referring Person"/>
    <tableColumn id="12" xr3:uid="{00000000-0010-0000-0000-00000C000000}" name="Outreach Motion"/>
    <tableColumn id="13" xr3:uid="{00000000-0010-0000-0000-00000D000000}" name="Relationship Status"/>
    <tableColumn id="14" xr3:uid="{00000000-0010-0000-0000-00000E000000}" name="Date First Identified"/>
    <tableColumn id="15" xr3:uid="{00000000-0010-0000-0000-00000F000000}" name="Date First Contacted"/>
    <tableColumn id="16" xr3:uid="{00000000-0010-0000-0000-000010000000}" name="Date First Met"/>
    <tableColumn id="17" xr3:uid="{00000000-0010-0000-0000-000011000000}" name="Last Interaction Date"/>
    <tableColumn id="18" xr3:uid="{00000000-0010-0000-0000-000012000000}" name="Last Interaction Type"/>
    <tableColumn id="19" xr3:uid="{00000000-0010-0000-0000-000013000000}" name="Conversation Notes"/>
    <tableColumn id="20" xr3:uid="{00000000-0010-0000-0000-000014000000}" name="Next Action"/>
    <tableColumn id="21" xr3:uid="{00000000-0010-0000-0000-000015000000}" name="Next Action Type"/>
    <tableColumn id="22" xr3:uid="{00000000-0010-0000-0000-000016000000}" name="Next Action Date"/>
    <tableColumn id="23" xr3:uid="{00000000-0010-0000-0000-000017000000}" name="Owner"/>
    <tableColumn id="24" xr3:uid="{00000000-0010-0000-0000-000018000000}" name="CASL Basis"/>
    <tableColumn id="25" xr3:uid="{00000000-0010-0000-0000-000019000000}" name="Email Source / Where Found"/>
    <tableColumn id="26" xr3:uid="{00000000-0010-0000-0000-00001A000000}" name="Consent / Basis Date"/>
    <tableColumn id="27" xr3:uid="{00000000-0010-0000-0000-00001B000000}" name="Unsubscribed?"/>
    <tableColumn id="28" xr3:uid="{00000000-0010-0000-0000-00001C000000}" name="Unsubscribe Date"/>
    <tableColumn id="29" xr3:uid="{00000000-0010-0000-0000-00001D000000}" name="Opportunity?"/>
    <tableColumn id="30" xr3:uid="{00000000-0010-0000-0000-00001E000000}" name="Opportunity ID"/>
    <tableColumn id="31" xr3:uid="{00000000-0010-0000-0000-00001F000000}" name="Estimated Opportunity Value"/>
    <tableColumn id="32" xr3:uid="{00000000-0010-0000-0000-000020000000}" name="Outcome"/>
    <tableColumn id="33" xr3:uid="{00000000-0010-0000-0000-000021000000}" name="Closed Reason"/>
    <tableColumn id="34" xr3:uid="{00000000-0010-0000-0000-000022000000}" name="Last Updated"/>
    <tableColumn id="35" xr3:uid="{00000000-0010-0000-0000-000023000000}" name="Days Until Next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portunityTable" displayName="OpportunityTable" ref="A3:P203" totalsRowShown="0">
  <tableColumns count="16">
    <tableColumn id="1" xr3:uid="{00000000-0010-0000-0100-000001000000}" name="Opportunity ID"/>
    <tableColumn id="2" xr3:uid="{00000000-0010-0000-0100-000002000000}" name="Opportunity / Project"/>
    <tableColumn id="3" xr3:uid="{00000000-0010-0000-0100-000003000000}" name="Company"/>
    <tableColumn id="4" xr3:uid="{00000000-0010-0000-0100-000004000000}" name="Primary Contact"/>
    <tableColumn id="5" xr3:uid="{00000000-0010-0000-0100-000005000000}" name="Lead Source"/>
    <tableColumn id="6" xr3:uid="{00000000-0010-0000-0100-000006000000}" name="Date Opportunity Created"/>
    <tableColumn id="7" xr3:uid="{00000000-0010-0000-0100-000007000000}" name="Expected Project Timing"/>
    <tableColumn id="8" xr3:uid="{00000000-0010-0000-0100-000008000000}" name="Estimated Value"/>
    <tableColumn id="9" xr3:uid="{00000000-0010-0000-0100-000009000000}" name="Stage"/>
    <tableColumn id="10" xr3:uid="{00000000-0010-0000-0100-00000A000000}" name="Proposal Requested?"/>
    <tableColumn id="11" xr3:uid="{00000000-0010-0000-0100-00000B000000}" name="Proposal Date"/>
    <tableColumn id="12" xr3:uid="{00000000-0010-0000-0100-00000C000000}" name="Decision Date"/>
    <tableColumn id="13" xr3:uid="{00000000-0010-0000-0100-00000D000000}" name="Outcome"/>
    <tableColumn id="14" xr3:uid="{00000000-0010-0000-0100-00000E000000}" name="Reason Won / Lost / Delayed"/>
    <tableColumn id="15" xr3:uid="{00000000-0010-0000-0100-00000F000000}" name="Awareness-to-Opportunity Days"/>
    <tableColumn id="16" xr3:uid="{00000000-0010-0000-0100-000010000000}" name="Opportunity-to-Decision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B1" workbookViewId="0">
      <selection activeCell="D17" sqref="D17"/>
    </sheetView>
  </sheetViews>
  <sheetFormatPr baseColWidth="10" defaultColWidth="8.83203125" defaultRowHeight="15"/>
  <cols>
    <col min="1" max="7" width="30" style="7" customWidth="1"/>
    <col min="8" max="8" width="8.83203125" style="7"/>
    <col min="9" max="9" width="26" style="7" customWidth="1"/>
    <col min="10" max="10" width="44" style="7" customWidth="1"/>
    <col min="11" max="16384" width="8.83203125" style="7"/>
  </cols>
  <sheetData>
    <row r="1" spans="1:10" ht="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6" t="s">
        <v>7</v>
      </c>
      <c r="J1" s="6" t="s">
        <v>8</v>
      </c>
    </row>
    <row r="2" spans="1:10" ht="16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I2" s="8" t="s">
        <v>16</v>
      </c>
      <c r="J2" s="8" t="s">
        <v>17</v>
      </c>
    </row>
    <row r="3" spans="1:10" ht="16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I3" s="8" t="s">
        <v>25</v>
      </c>
      <c r="J3" s="8" t="s">
        <v>26</v>
      </c>
    </row>
    <row r="4" spans="1:10" ht="16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I4" s="8" t="s">
        <v>34</v>
      </c>
      <c r="J4" s="8" t="s">
        <v>35</v>
      </c>
    </row>
    <row r="5" spans="1:10" ht="16">
      <c r="A5" s="7" t="s">
        <v>36</v>
      </c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I5" s="8" t="s">
        <v>43</v>
      </c>
      <c r="J5" s="8" t="s">
        <v>44</v>
      </c>
    </row>
    <row r="6" spans="1:10" ht="16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I6" s="8" t="s">
        <v>52</v>
      </c>
      <c r="J6" s="8" t="s">
        <v>53</v>
      </c>
    </row>
    <row r="7" spans="1:10" ht="16">
      <c r="A7" s="7" t="s">
        <v>54</v>
      </c>
      <c r="B7" s="7" t="s">
        <v>55</v>
      </c>
      <c r="C7" s="7" t="s">
        <v>56</v>
      </c>
      <c r="D7" s="7" t="s">
        <v>22</v>
      </c>
      <c r="E7" s="7" t="s">
        <v>57</v>
      </c>
      <c r="F7" s="7" t="s">
        <v>58</v>
      </c>
      <c r="G7" s="7" t="s">
        <v>59</v>
      </c>
      <c r="I7" s="8" t="s">
        <v>60</v>
      </c>
      <c r="J7" s="8" t="s">
        <v>61</v>
      </c>
    </row>
    <row r="8" spans="1:10" ht="16">
      <c r="A8" s="7" t="s">
        <v>62</v>
      </c>
      <c r="B8" s="7" t="s">
        <v>63</v>
      </c>
      <c r="D8" s="7" t="s">
        <v>31</v>
      </c>
      <c r="F8" s="7" t="s">
        <v>64</v>
      </c>
      <c r="G8" s="7" t="s">
        <v>47</v>
      </c>
      <c r="I8" s="8" t="s">
        <v>65</v>
      </c>
      <c r="J8" s="8" t="s">
        <v>66</v>
      </c>
    </row>
    <row r="9" spans="1:10" ht="32">
      <c r="A9" s="7" t="s">
        <v>67</v>
      </c>
      <c r="B9" s="7" t="s">
        <v>68</v>
      </c>
      <c r="D9" s="7" t="s">
        <v>40</v>
      </c>
      <c r="G9" s="7" t="s">
        <v>69</v>
      </c>
      <c r="I9" s="8" t="s">
        <v>70</v>
      </c>
      <c r="J9" s="8" t="s">
        <v>71</v>
      </c>
    </row>
    <row r="10" spans="1:10">
      <c r="A10" s="7" t="s">
        <v>72</v>
      </c>
      <c r="B10" s="7" t="s">
        <v>73</v>
      </c>
    </row>
    <row r="11" spans="1:10">
      <c r="A11" s="7" t="s">
        <v>74</v>
      </c>
    </row>
    <row r="12" spans="1:10">
      <c r="A12" s="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04"/>
  <sheetViews>
    <sheetView workbookViewId="0">
      <selection activeCell="I5" sqref="I5"/>
    </sheetView>
  </sheetViews>
  <sheetFormatPr baseColWidth="10" defaultColWidth="8.83203125" defaultRowHeight="14"/>
  <cols>
    <col min="1" max="1" width="10" customWidth="1"/>
    <col min="2" max="3" width="15" customWidth="1"/>
    <col min="4" max="4" width="24" customWidth="1"/>
    <col min="5" max="5" width="26" customWidth="1"/>
    <col min="6" max="6" width="30" customWidth="1"/>
    <col min="7" max="7" width="32" customWidth="1"/>
    <col min="8" max="8" width="18" customWidth="1"/>
    <col min="9" max="9" width="22" customWidth="1"/>
    <col min="10" max="10" width="28" customWidth="1"/>
    <col min="11" max="11" width="20" customWidth="1"/>
    <col min="12" max="12" width="22" customWidth="1"/>
    <col min="13" max="13" width="24" customWidth="1"/>
    <col min="14" max="17" width="14" customWidth="1"/>
    <col min="18" max="18" width="22" customWidth="1"/>
    <col min="19" max="19" width="40" customWidth="1"/>
    <col min="20" max="20" width="32" customWidth="1"/>
    <col min="21" max="21" width="24" customWidth="1"/>
    <col min="22" max="23" width="14" customWidth="1"/>
    <col min="24" max="24" width="30" customWidth="1"/>
    <col min="25" max="25" width="34" customWidth="1"/>
    <col min="26" max="30" width="14" customWidth="1"/>
    <col min="31" max="31" width="20" customWidth="1"/>
    <col min="32" max="33" width="18" customWidth="1"/>
    <col min="34" max="34" width="14" customWidth="1"/>
    <col min="35" max="35" width="18" customWidth="1"/>
  </cols>
  <sheetData>
    <row r="1" spans="1:35" ht="21">
      <c r="A1" s="14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5">
      <c r="A2" s="15" t="s">
        <v>77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4" spans="1:35" ht="48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1</v>
      </c>
      <c r="J4" s="1" t="s">
        <v>86</v>
      </c>
      <c r="K4" s="1" t="s">
        <v>87</v>
      </c>
      <c r="L4" s="1" t="s">
        <v>2</v>
      </c>
      <c r="M4" s="1" t="s">
        <v>0</v>
      </c>
      <c r="N4" s="1" t="s">
        <v>88</v>
      </c>
      <c r="O4" s="1" t="s">
        <v>89</v>
      </c>
      <c r="P4" s="1" t="s">
        <v>90</v>
      </c>
      <c r="Q4" s="1" t="s">
        <v>91</v>
      </c>
      <c r="R4" s="1" t="s">
        <v>92</v>
      </c>
      <c r="S4" s="1" t="s">
        <v>93</v>
      </c>
      <c r="T4" s="1" t="s">
        <v>94</v>
      </c>
      <c r="U4" s="1" t="s">
        <v>6</v>
      </c>
      <c r="V4" s="1" t="s">
        <v>95</v>
      </c>
      <c r="W4" s="1" t="s">
        <v>96</v>
      </c>
      <c r="X4" s="1" t="s">
        <v>5</v>
      </c>
      <c r="Y4" s="1" t="s">
        <v>97</v>
      </c>
      <c r="Z4" s="1" t="s">
        <v>98</v>
      </c>
      <c r="AA4" s="1" t="s">
        <v>99</v>
      </c>
      <c r="AB4" s="1" t="s">
        <v>100</v>
      </c>
      <c r="AC4" s="1" t="s">
        <v>101</v>
      </c>
      <c r="AD4" s="1" t="s">
        <v>102</v>
      </c>
      <c r="AE4" s="1" t="s">
        <v>103</v>
      </c>
      <c r="AF4" s="1" t="s">
        <v>4</v>
      </c>
      <c r="AG4" s="1" t="s">
        <v>104</v>
      </c>
      <c r="AH4" s="1" t="s">
        <v>105</v>
      </c>
      <c r="AI4" s="1" t="s">
        <v>106</v>
      </c>
    </row>
    <row r="5" spans="1:35">
      <c r="A5" t="str">
        <f t="shared" ref="A5:A68" si="0">IF(B5="","",ROW()-4)</f>
        <v/>
      </c>
      <c r="N5" s="3"/>
      <c r="O5" s="3"/>
      <c r="P5" s="3"/>
      <c r="Q5" s="3"/>
      <c r="S5" s="2"/>
      <c r="T5" s="2"/>
      <c r="V5" s="3"/>
      <c r="Z5" s="3"/>
      <c r="AB5" s="3"/>
      <c r="AE5" s="4"/>
      <c r="AH5" s="3"/>
      <c r="AI5" s="5" t="str">
        <f t="shared" ref="AI5:AI68" ca="1" si="1">IF(V5="","",V5-TODAY())</f>
        <v/>
      </c>
    </row>
    <row r="6" spans="1:35">
      <c r="A6" t="str">
        <f t="shared" si="0"/>
        <v/>
      </c>
      <c r="N6" s="3"/>
      <c r="O6" s="3"/>
      <c r="P6" s="3"/>
      <c r="Q6" s="3"/>
      <c r="S6" s="2"/>
      <c r="T6" s="2"/>
      <c r="V6" s="3"/>
      <c r="Z6" s="3"/>
      <c r="AB6" s="3"/>
      <c r="AE6" s="4"/>
      <c r="AH6" s="3"/>
      <c r="AI6" s="5" t="str">
        <f t="shared" ca="1" si="1"/>
        <v/>
      </c>
    </row>
    <row r="7" spans="1:35">
      <c r="A7" t="str">
        <f t="shared" si="0"/>
        <v/>
      </c>
      <c r="N7" s="3"/>
      <c r="O7" s="3"/>
      <c r="P7" s="3"/>
      <c r="Q7" s="3"/>
      <c r="S7" s="2"/>
      <c r="T7" s="2"/>
      <c r="V7" s="3"/>
      <c r="Z7" s="3"/>
      <c r="AB7" s="3"/>
      <c r="AE7" s="4"/>
      <c r="AH7" s="3"/>
      <c r="AI7" s="5" t="str">
        <f t="shared" ca="1" si="1"/>
        <v/>
      </c>
    </row>
    <row r="8" spans="1:35">
      <c r="A8" t="str">
        <f t="shared" si="0"/>
        <v/>
      </c>
      <c r="N8" s="3"/>
      <c r="O8" s="3"/>
      <c r="P8" s="3"/>
      <c r="Q8" s="3"/>
      <c r="S8" s="2"/>
      <c r="T8" s="2"/>
      <c r="V8" s="3"/>
      <c r="Z8" s="3"/>
      <c r="AB8" s="3"/>
      <c r="AE8" s="4"/>
      <c r="AH8" s="3"/>
      <c r="AI8" s="5" t="str">
        <f t="shared" ca="1" si="1"/>
        <v/>
      </c>
    </row>
    <row r="9" spans="1:35">
      <c r="A9" t="str">
        <f t="shared" si="0"/>
        <v/>
      </c>
      <c r="N9" s="3"/>
      <c r="O9" s="3"/>
      <c r="P9" s="3"/>
      <c r="Q9" s="3"/>
      <c r="S9" s="2"/>
      <c r="T9" s="2"/>
      <c r="V9" s="3"/>
      <c r="Z9" s="3"/>
      <c r="AB9" s="3"/>
      <c r="AE9" s="4"/>
      <c r="AH9" s="3"/>
      <c r="AI9" s="5" t="str">
        <f t="shared" ca="1" si="1"/>
        <v/>
      </c>
    </row>
    <row r="10" spans="1:35">
      <c r="A10" t="str">
        <f t="shared" si="0"/>
        <v/>
      </c>
      <c r="N10" s="3"/>
      <c r="O10" s="3"/>
      <c r="P10" s="3"/>
      <c r="Q10" s="3"/>
      <c r="S10" s="2"/>
      <c r="T10" s="2"/>
      <c r="V10" s="3"/>
      <c r="Z10" s="3"/>
      <c r="AB10" s="3"/>
      <c r="AE10" s="4"/>
      <c r="AH10" s="3"/>
      <c r="AI10" s="5" t="str">
        <f t="shared" ca="1" si="1"/>
        <v/>
      </c>
    </row>
    <row r="11" spans="1:35">
      <c r="A11" t="str">
        <f t="shared" si="0"/>
        <v/>
      </c>
      <c r="N11" s="3"/>
      <c r="O11" s="3"/>
      <c r="P11" s="3"/>
      <c r="Q11" s="3"/>
      <c r="S11" s="2"/>
      <c r="T11" s="2"/>
      <c r="V11" s="3"/>
      <c r="Z11" s="3"/>
      <c r="AB11" s="3"/>
      <c r="AE11" s="4"/>
      <c r="AH11" s="3"/>
      <c r="AI11" s="5" t="str">
        <f t="shared" ca="1" si="1"/>
        <v/>
      </c>
    </row>
    <row r="12" spans="1:35">
      <c r="A12" t="str">
        <f t="shared" si="0"/>
        <v/>
      </c>
      <c r="N12" s="3"/>
      <c r="O12" s="3"/>
      <c r="P12" s="3"/>
      <c r="Q12" s="3"/>
      <c r="S12" s="2"/>
      <c r="T12" s="2"/>
      <c r="V12" s="3"/>
      <c r="Z12" s="3"/>
      <c r="AB12" s="3"/>
      <c r="AE12" s="4"/>
      <c r="AH12" s="3"/>
      <c r="AI12" s="5" t="str">
        <f t="shared" ca="1" si="1"/>
        <v/>
      </c>
    </row>
    <row r="13" spans="1:35">
      <c r="A13" t="str">
        <f t="shared" si="0"/>
        <v/>
      </c>
      <c r="N13" s="3"/>
      <c r="O13" s="3"/>
      <c r="P13" s="3"/>
      <c r="Q13" s="3"/>
      <c r="S13" s="2"/>
      <c r="T13" s="2"/>
      <c r="V13" s="3"/>
      <c r="Z13" s="3"/>
      <c r="AB13" s="3"/>
      <c r="AE13" s="4"/>
      <c r="AH13" s="3"/>
      <c r="AI13" s="5" t="str">
        <f t="shared" ca="1" si="1"/>
        <v/>
      </c>
    </row>
    <row r="14" spans="1:35">
      <c r="A14" t="str">
        <f t="shared" si="0"/>
        <v/>
      </c>
      <c r="N14" s="3"/>
      <c r="O14" s="3"/>
      <c r="P14" s="3"/>
      <c r="Q14" s="3"/>
      <c r="S14" s="2"/>
      <c r="T14" s="2"/>
      <c r="V14" s="3"/>
      <c r="Z14" s="3"/>
      <c r="AB14" s="3"/>
      <c r="AE14" s="4"/>
      <c r="AH14" s="3"/>
      <c r="AI14" s="5" t="str">
        <f t="shared" ca="1" si="1"/>
        <v/>
      </c>
    </row>
    <row r="15" spans="1:35">
      <c r="A15" t="str">
        <f t="shared" si="0"/>
        <v/>
      </c>
      <c r="N15" s="3"/>
      <c r="O15" s="3"/>
      <c r="P15" s="3"/>
      <c r="Q15" s="3"/>
      <c r="S15" s="2"/>
      <c r="T15" s="2"/>
      <c r="V15" s="3"/>
      <c r="Z15" s="3"/>
      <c r="AB15" s="3"/>
      <c r="AE15" s="4"/>
      <c r="AH15" s="3"/>
      <c r="AI15" s="5" t="str">
        <f t="shared" ca="1" si="1"/>
        <v/>
      </c>
    </row>
    <row r="16" spans="1:35">
      <c r="A16" t="str">
        <f t="shared" si="0"/>
        <v/>
      </c>
      <c r="N16" s="3"/>
      <c r="O16" s="3"/>
      <c r="P16" s="3"/>
      <c r="Q16" s="3"/>
      <c r="S16" s="2"/>
      <c r="T16" s="2"/>
      <c r="V16" s="3"/>
      <c r="Z16" s="3"/>
      <c r="AB16" s="3"/>
      <c r="AE16" s="4"/>
      <c r="AH16" s="3"/>
      <c r="AI16" s="5" t="str">
        <f t="shared" ca="1" si="1"/>
        <v/>
      </c>
    </row>
    <row r="17" spans="1:35">
      <c r="A17" t="str">
        <f t="shared" si="0"/>
        <v/>
      </c>
      <c r="N17" s="3"/>
      <c r="O17" s="3"/>
      <c r="P17" s="3"/>
      <c r="Q17" s="3"/>
      <c r="S17" s="2"/>
      <c r="T17" s="2"/>
      <c r="V17" s="3"/>
      <c r="Z17" s="3"/>
      <c r="AB17" s="3"/>
      <c r="AE17" s="4"/>
      <c r="AH17" s="3"/>
      <c r="AI17" s="5" t="str">
        <f t="shared" ca="1" si="1"/>
        <v/>
      </c>
    </row>
    <row r="18" spans="1:35">
      <c r="A18" t="str">
        <f t="shared" si="0"/>
        <v/>
      </c>
      <c r="N18" s="3"/>
      <c r="O18" s="3"/>
      <c r="P18" s="3"/>
      <c r="Q18" s="3"/>
      <c r="S18" s="2"/>
      <c r="T18" s="2"/>
      <c r="V18" s="3"/>
      <c r="Z18" s="3"/>
      <c r="AB18" s="3"/>
      <c r="AE18" s="4"/>
      <c r="AH18" s="3"/>
      <c r="AI18" s="5" t="str">
        <f t="shared" ca="1" si="1"/>
        <v/>
      </c>
    </row>
    <row r="19" spans="1:35">
      <c r="A19" t="str">
        <f t="shared" si="0"/>
        <v/>
      </c>
      <c r="N19" s="3"/>
      <c r="O19" s="3"/>
      <c r="P19" s="3"/>
      <c r="Q19" s="3"/>
      <c r="S19" s="2"/>
      <c r="T19" s="2"/>
      <c r="V19" s="3"/>
      <c r="Z19" s="3"/>
      <c r="AB19" s="3"/>
      <c r="AE19" s="4"/>
      <c r="AH19" s="3"/>
      <c r="AI19" s="5" t="str">
        <f t="shared" ca="1" si="1"/>
        <v/>
      </c>
    </row>
    <row r="20" spans="1:35">
      <c r="A20" t="str">
        <f t="shared" si="0"/>
        <v/>
      </c>
      <c r="N20" s="3"/>
      <c r="O20" s="3"/>
      <c r="P20" s="3"/>
      <c r="Q20" s="3"/>
      <c r="S20" s="2"/>
      <c r="T20" s="2"/>
      <c r="V20" s="3"/>
      <c r="Z20" s="3"/>
      <c r="AB20" s="3"/>
      <c r="AE20" s="4"/>
      <c r="AH20" s="3"/>
      <c r="AI20" s="5" t="str">
        <f t="shared" ca="1" si="1"/>
        <v/>
      </c>
    </row>
    <row r="21" spans="1:35">
      <c r="A21" t="str">
        <f t="shared" si="0"/>
        <v/>
      </c>
      <c r="N21" s="3"/>
      <c r="O21" s="3"/>
      <c r="P21" s="3"/>
      <c r="Q21" s="3"/>
      <c r="S21" s="2"/>
      <c r="T21" s="2"/>
      <c r="V21" s="3"/>
      <c r="Z21" s="3"/>
      <c r="AB21" s="3"/>
      <c r="AE21" s="4"/>
      <c r="AH21" s="3"/>
      <c r="AI21" s="5" t="str">
        <f t="shared" ca="1" si="1"/>
        <v/>
      </c>
    </row>
    <row r="22" spans="1:35">
      <c r="A22" t="str">
        <f t="shared" si="0"/>
        <v/>
      </c>
      <c r="N22" s="3"/>
      <c r="O22" s="3"/>
      <c r="P22" s="3"/>
      <c r="Q22" s="3"/>
      <c r="S22" s="2"/>
      <c r="T22" s="2"/>
      <c r="V22" s="3"/>
      <c r="Z22" s="3"/>
      <c r="AB22" s="3"/>
      <c r="AE22" s="4"/>
      <c r="AH22" s="3"/>
      <c r="AI22" s="5" t="str">
        <f t="shared" ca="1" si="1"/>
        <v/>
      </c>
    </row>
    <row r="23" spans="1:35">
      <c r="A23" t="str">
        <f t="shared" si="0"/>
        <v/>
      </c>
      <c r="N23" s="3"/>
      <c r="O23" s="3"/>
      <c r="P23" s="3"/>
      <c r="Q23" s="3"/>
      <c r="S23" s="2"/>
      <c r="T23" s="2"/>
      <c r="V23" s="3"/>
      <c r="Z23" s="3"/>
      <c r="AB23" s="3"/>
      <c r="AE23" s="4"/>
      <c r="AH23" s="3"/>
      <c r="AI23" s="5" t="str">
        <f t="shared" ca="1" si="1"/>
        <v/>
      </c>
    </row>
    <row r="24" spans="1:35">
      <c r="A24" t="str">
        <f t="shared" si="0"/>
        <v/>
      </c>
      <c r="N24" s="3"/>
      <c r="O24" s="3"/>
      <c r="P24" s="3"/>
      <c r="Q24" s="3"/>
      <c r="S24" s="2"/>
      <c r="T24" s="2"/>
      <c r="V24" s="3"/>
      <c r="Z24" s="3"/>
      <c r="AB24" s="3"/>
      <c r="AE24" s="4"/>
      <c r="AH24" s="3"/>
      <c r="AI24" s="5" t="str">
        <f t="shared" ca="1" si="1"/>
        <v/>
      </c>
    </row>
    <row r="25" spans="1:35">
      <c r="A25" t="str">
        <f t="shared" si="0"/>
        <v/>
      </c>
      <c r="N25" s="3"/>
      <c r="O25" s="3"/>
      <c r="P25" s="3"/>
      <c r="Q25" s="3"/>
      <c r="S25" s="2"/>
      <c r="T25" s="2"/>
      <c r="V25" s="3"/>
      <c r="Z25" s="3"/>
      <c r="AB25" s="3"/>
      <c r="AE25" s="4"/>
      <c r="AH25" s="3"/>
      <c r="AI25" s="5" t="str">
        <f t="shared" ca="1" si="1"/>
        <v/>
      </c>
    </row>
    <row r="26" spans="1:35">
      <c r="A26" t="str">
        <f t="shared" si="0"/>
        <v/>
      </c>
      <c r="N26" s="3"/>
      <c r="O26" s="3"/>
      <c r="P26" s="3"/>
      <c r="Q26" s="3"/>
      <c r="S26" s="2"/>
      <c r="T26" s="2"/>
      <c r="V26" s="3"/>
      <c r="Z26" s="3"/>
      <c r="AB26" s="3"/>
      <c r="AE26" s="4"/>
      <c r="AH26" s="3"/>
      <c r="AI26" s="5" t="str">
        <f t="shared" ca="1" si="1"/>
        <v/>
      </c>
    </row>
    <row r="27" spans="1:35">
      <c r="A27" t="str">
        <f t="shared" si="0"/>
        <v/>
      </c>
      <c r="N27" s="3"/>
      <c r="O27" s="3"/>
      <c r="P27" s="3"/>
      <c r="Q27" s="3"/>
      <c r="S27" s="2"/>
      <c r="T27" s="2"/>
      <c r="V27" s="3"/>
      <c r="Z27" s="3"/>
      <c r="AB27" s="3"/>
      <c r="AE27" s="4"/>
      <c r="AH27" s="3"/>
      <c r="AI27" s="5" t="str">
        <f t="shared" ca="1" si="1"/>
        <v/>
      </c>
    </row>
    <row r="28" spans="1:35">
      <c r="A28" t="str">
        <f t="shared" si="0"/>
        <v/>
      </c>
      <c r="N28" s="3"/>
      <c r="O28" s="3"/>
      <c r="P28" s="3"/>
      <c r="Q28" s="3"/>
      <c r="S28" s="2"/>
      <c r="T28" s="2"/>
      <c r="V28" s="3"/>
      <c r="Z28" s="3"/>
      <c r="AB28" s="3"/>
      <c r="AE28" s="4"/>
      <c r="AH28" s="3"/>
      <c r="AI28" s="5" t="str">
        <f t="shared" ca="1" si="1"/>
        <v/>
      </c>
    </row>
    <row r="29" spans="1:35">
      <c r="A29" t="str">
        <f t="shared" si="0"/>
        <v/>
      </c>
      <c r="N29" s="3"/>
      <c r="O29" s="3"/>
      <c r="P29" s="3"/>
      <c r="Q29" s="3"/>
      <c r="S29" s="2"/>
      <c r="T29" s="2"/>
      <c r="V29" s="3"/>
      <c r="Z29" s="3"/>
      <c r="AB29" s="3"/>
      <c r="AE29" s="4"/>
      <c r="AH29" s="3"/>
      <c r="AI29" s="5" t="str">
        <f t="shared" ca="1" si="1"/>
        <v/>
      </c>
    </row>
    <row r="30" spans="1:35">
      <c r="A30" t="str">
        <f t="shared" si="0"/>
        <v/>
      </c>
      <c r="N30" s="3"/>
      <c r="O30" s="3"/>
      <c r="P30" s="3"/>
      <c r="Q30" s="3"/>
      <c r="S30" s="2"/>
      <c r="T30" s="2"/>
      <c r="V30" s="3"/>
      <c r="Z30" s="3"/>
      <c r="AB30" s="3"/>
      <c r="AE30" s="4"/>
      <c r="AH30" s="3"/>
      <c r="AI30" s="5" t="str">
        <f t="shared" ca="1" si="1"/>
        <v/>
      </c>
    </row>
    <row r="31" spans="1:35">
      <c r="A31" t="str">
        <f t="shared" si="0"/>
        <v/>
      </c>
      <c r="N31" s="3"/>
      <c r="O31" s="3"/>
      <c r="P31" s="3"/>
      <c r="Q31" s="3"/>
      <c r="S31" s="2"/>
      <c r="T31" s="2"/>
      <c r="V31" s="3"/>
      <c r="Z31" s="3"/>
      <c r="AB31" s="3"/>
      <c r="AE31" s="4"/>
      <c r="AH31" s="3"/>
      <c r="AI31" s="5" t="str">
        <f t="shared" ca="1" si="1"/>
        <v/>
      </c>
    </row>
    <row r="32" spans="1:35">
      <c r="A32" t="str">
        <f t="shared" si="0"/>
        <v/>
      </c>
      <c r="N32" s="3"/>
      <c r="O32" s="3"/>
      <c r="P32" s="3"/>
      <c r="Q32" s="3"/>
      <c r="S32" s="2"/>
      <c r="T32" s="2"/>
      <c r="V32" s="3"/>
      <c r="Z32" s="3"/>
      <c r="AB32" s="3"/>
      <c r="AE32" s="4"/>
      <c r="AH32" s="3"/>
      <c r="AI32" s="5" t="str">
        <f t="shared" ca="1" si="1"/>
        <v/>
      </c>
    </row>
    <row r="33" spans="1:35">
      <c r="A33" t="str">
        <f t="shared" si="0"/>
        <v/>
      </c>
      <c r="N33" s="3"/>
      <c r="O33" s="3"/>
      <c r="P33" s="3"/>
      <c r="Q33" s="3"/>
      <c r="S33" s="2"/>
      <c r="T33" s="2"/>
      <c r="V33" s="3"/>
      <c r="Z33" s="3"/>
      <c r="AB33" s="3"/>
      <c r="AE33" s="4"/>
      <c r="AH33" s="3"/>
      <c r="AI33" s="5" t="str">
        <f t="shared" ca="1" si="1"/>
        <v/>
      </c>
    </row>
    <row r="34" spans="1:35">
      <c r="A34" t="str">
        <f t="shared" si="0"/>
        <v/>
      </c>
      <c r="N34" s="3"/>
      <c r="O34" s="3"/>
      <c r="P34" s="3"/>
      <c r="Q34" s="3"/>
      <c r="S34" s="2"/>
      <c r="T34" s="2"/>
      <c r="V34" s="3"/>
      <c r="Z34" s="3"/>
      <c r="AB34" s="3"/>
      <c r="AE34" s="4"/>
      <c r="AH34" s="3"/>
      <c r="AI34" s="5" t="str">
        <f t="shared" ca="1" si="1"/>
        <v/>
      </c>
    </row>
    <row r="35" spans="1:35">
      <c r="A35" t="str">
        <f t="shared" si="0"/>
        <v/>
      </c>
      <c r="N35" s="3"/>
      <c r="O35" s="3"/>
      <c r="P35" s="3"/>
      <c r="Q35" s="3"/>
      <c r="S35" s="2"/>
      <c r="T35" s="2"/>
      <c r="V35" s="3"/>
      <c r="Z35" s="3"/>
      <c r="AB35" s="3"/>
      <c r="AE35" s="4"/>
      <c r="AH35" s="3"/>
      <c r="AI35" s="5" t="str">
        <f t="shared" ca="1" si="1"/>
        <v/>
      </c>
    </row>
    <row r="36" spans="1:35">
      <c r="A36" t="str">
        <f t="shared" si="0"/>
        <v/>
      </c>
      <c r="N36" s="3"/>
      <c r="O36" s="3"/>
      <c r="P36" s="3"/>
      <c r="Q36" s="3"/>
      <c r="S36" s="2"/>
      <c r="T36" s="2"/>
      <c r="V36" s="3"/>
      <c r="Z36" s="3"/>
      <c r="AB36" s="3"/>
      <c r="AE36" s="4"/>
      <c r="AH36" s="3"/>
      <c r="AI36" s="5" t="str">
        <f t="shared" ca="1" si="1"/>
        <v/>
      </c>
    </row>
    <row r="37" spans="1:35">
      <c r="A37" t="str">
        <f t="shared" si="0"/>
        <v/>
      </c>
      <c r="N37" s="3"/>
      <c r="O37" s="3"/>
      <c r="P37" s="3"/>
      <c r="Q37" s="3"/>
      <c r="S37" s="2"/>
      <c r="T37" s="2"/>
      <c r="V37" s="3"/>
      <c r="Z37" s="3"/>
      <c r="AB37" s="3"/>
      <c r="AE37" s="4"/>
      <c r="AH37" s="3"/>
      <c r="AI37" s="5" t="str">
        <f t="shared" ca="1" si="1"/>
        <v/>
      </c>
    </row>
    <row r="38" spans="1:35">
      <c r="A38" t="str">
        <f t="shared" si="0"/>
        <v/>
      </c>
      <c r="N38" s="3"/>
      <c r="O38" s="3"/>
      <c r="P38" s="3"/>
      <c r="Q38" s="3"/>
      <c r="S38" s="2"/>
      <c r="T38" s="2"/>
      <c r="V38" s="3"/>
      <c r="Z38" s="3"/>
      <c r="AB38" s="3"/>
      <c r="AE38" s="4"/>
      <c r="AH38" s="3"/>
      <c r="AI38" s="5" t="str">
        <f t="shared" ca="1" si="1"/>
        <v/>
      </c>
    </row>
    <row r="39" spans="1:35">
      <c r="A39" t="str">
        <f t="shared" si="0"/>
        <v/>
      </c>
      <c r="N39" s="3"/>
      <c r="O39" s="3"/>
      <c r="P39" s="3"/>
      <c r="Q39" s="3"/>
      <c r="S39" s="2"/>
      <c r="T39" s="2"/>
      <c r="V39" s="3"/>
      <c r="Z39" s="3"/>
      <c r="AB39" s="3"/>
      <c r="AE39" s="4"/>
      <c r="AH39" s="3"/>
      <c r="AI39" s="5" t="str">
        <f t="shared" ca="1" si="1"/>
        <v/>
      </c>
    </row>
    <row r="40" spans="1:35">
      <c r="A40" t="str">
        <f t="shared" si="0"/>
        <v/>
      </c>
      <c r="N40" s="3"/>
      <c r="O40" s="3"/>
      <c r="P40" s="3"/>
      <c r="Q40" s="3"/>
      <c r="S40" s="2"/>
      <c r="T40" s="2"/>
      <c r="V40" s="3"/>
      <c r="Z40" s="3"/>
      <c r="AB40" s="3"/>
      <c r="AE40" s="4"/>
      <c r="AH40" s="3"/>
      <c r="AI40" s="5" t="str">
        <f t="shared" ca="1" si="1"/>
        <v/>
      </c>
    </row>
    <row r="41" spans="1:35">
      <c r="A41" t="str">
        <f t="shared" si="0"/>
        <v/>
      </c>
      <c r="N41" s="3"/>
      <c r="O41" s="3"/>
      <c r="P41" s="3"/>
      <c r="Q41" s="3"/>
      <c r="S41" s="2"/>
      <c r="T41" s="2"/>
      <c r="V41" s="3"/>
      <c r="Z41" s="3"/>
      <c r="AB41" s="3"/>
      <c r="AE41" s="4"/>
      <c r="AH41" s="3"/>
      <c r="AI41" s="5" t="str">
        <f t="shared" ca="1" si="1"/>
        <v/>
      </c>
    </row>
    <row r="42" spans="1:35">
      <c r="A42" t="str">
        <f t="shared" si="0"/>
        <v/>
      </c>
      <c r="N42" s="3"/>
      <c r="O42" s="3"/>
      <c r="P42" s="3"/>
      <c r="Q42" s="3"/>
      <c r="S42" s="2"/>
      <c r="T42" s="2"/>
      <c r="V42" s="3"/>
      <c r="Z42" s="3"/>
      <c r="AB42" s="3"/>
      <c r="AE42" s="4"/>
      <c r="AH42" s="3"/>
      <c r="AI42" s="5" t="str">
        <f t="shared" ca="1" si="1"/>
        <v/>
      </c>
    </row>
    <row r="43" spans="1:35">
      <c r="A43" t="str">
        <f t="shared" si="0"/>
        <v/>
      </c>
      <c r="N43" s="3"/>
      <c r="O43" s="3"/>
      <c r="P43" s="3"/>
      <c r="Q43" s="3"/>
      <c r="S43" s="2"/>
      <c r="T43" s="2"/>
      <c r="V43" s="3"/>
      <c r="Z43" s="3"/>
      <c r="AB43" s="3"/>
      <c r="AE43" s="4"/>
      <c r="AH43" s="3"/>
      <c r="AI43" s="5" t="str">
        <f t="shared" ca="1" si="1"/>
        <v/>
      </c>
    </row>
    <row r="44" spans="1:35">
      <c r="A44" t="str">
        <f t="shared" si="0"/>
        <v/>
      </c>
      <c r="N44" s="3"/>
      <c r="O44" s="3"/>
      <c r="P44" s="3"/>
      <c r="Q44" s="3"/>
      <c r="S44" s="2"/>
      <c r="T44" s="2"/>
      <c r="V44" s="3"/>
      <c r="Z44" s="3"/>
      <c r="AB44" s="3"/>
      <c r="AE44" s="4"/>
      <c r="AH44" s="3"/>
      <c r="AI44" s="5" t="str">
        <f t="shared" ca="1" si="1"/>
        <v/>
      </c>
    </row>
    <row r="45" spans="1:35">
      <c r="A45" t="str">
        <f t="shared" si="0"/>
        <v/>
      </c>
      <c r="N45" s="3"/>
      <c r="O45" s="3"/>
      <c r="P45" s="3"/>
      <c r="Q45" s="3"/>
      <c r="S45" s="2"/>
      <c r="T45" s="2"/>
      <c r="V45" s="3"/>
      <c r="Z45" s="3"/>
      <c r="AB45" s="3"/>
      <c r="AE45" s="4"/>
      <c r="AH45" s="3"/>
      <c r="AI45" s="5" t="str">
        <f t="shared" ca="1" si="1"/>
        <v/>
      </c>
    </row>
    <row r="46" spans="1:35">
      <c r="A46" t="str">
        <f t="shared" si="0"/>
        <v/>
      </c>
      <c r="N46" s="3"/>
      <c r="O46" s="3"/>
      <c r="P46" s="3"/>
      <c r="Q46" s="3"/>
      <c r="S46" s="2"/>
      <c r="T46" s="2"/>
      <c r="V46" s="3"/>
      <c r="Z46" s="3"/>
      <c r="AB46" s="3"/>
      <c r="AE46" s="4"/>
      <c r="AH46" s="3"/>
      <c r="AI46" s="5" t="str">
        <f t="shared" ca="1" si="1"/>
        <v/>
      </c>
    </row>
    <row r="47" spans="1:35">
      <c r="A47" t="str">
        <f t="shared" si="0"/>
        <v/>
      </c>
      <c r="N47" s="3"/>
      <c r="O47" s="3"/>
      <c r="P47" s="3"/>
      <c r="Q47" s="3"/>
      <c r="S47" s="2"/>
      <c r="T47" s="2"/>
      <c r="V47" s="3"/>
      <c r="Z47" s="3"/>
      <c r="AB47" s="3"/>
      <c r="AE47" s="4"/>
      <c r="AH47" s="3"/>
      <c r="AI47" s="5" t="str">
        <f t="shared" ca="1" si="1"/>
        <v/>
      </c>
    </row>
    <row r="48" spans="1:35">
      <c r="A48" t="str">
        <f t="shared" si="0"/>
        <v/>
      </c>
      <c r="N48" s="3"/>
      <c r="O48" s="3"/>
      <c r="P48" s="3"/>
      <c r="Q48" s="3"/>
      <c r="S48" s="2"/>
      <c r="T48" s="2"/>
      <c r="V48" s="3"/>
      <c r="Z48" s="3"/>
      <c r="AB48" s="3"/>
      <c r="AE48" s="4"/>
      <c r="AH48" s="3"/>
      <c r="AI48" s="5" t="str">
        <f t="shared" ca="1" si="1"/>
        <v/>
      </c>
    </row>
    <row r="49" spans="1:35">
      <c r="A49" t="str">
        <f t="shared" si="0"/>
        <v/>
      </c>
      <c r="N49" s="3"/>
      <c r="O49" s="3"/>
      <c r="P49" s="3"/>
      <c r="Q49" s="3"/>
      <c r="S49" s="2"/>
      <c r="T49" s="2"/>
      <c r="V49" s="3"/>
      <c r="Z49" s="3"/>
      <c r="AB49" s="3"/>
      <c r="AE49" s="4"/>
      <c r="AH49" s="3"/>
      <c r="AI49" s="5" t="str">
        <f t="shared" ca="1" si="1"/>
        <v/>
      </c>
    </row>
    <row r="50" spans="1:35">
      <c r="A50" t="str">
        <f t="shared" si="0"/>
        <v/>
      </c>
      <c r="N50" s="3"/>
      <c r="O50" s="3"/>
      <c r="P50" s="3"/>
      <c r="Q50" s="3"/>
      <c r="S50" s="2"/>
      <c r="T50" s="2"/>
      <c r="V50" s="3"/>
      <c r="Z50" s="3"/>
      <c r="AB50" s="3"/>
      <c r="AE50" s="4"/>
      <c r="AH50" s="3"/>
      <c r="AI50" s="5" t="str">
        <f t="shared" ca="1" si="1"/>
        <v/>
      </c>
    </row>
    <row r="51" spans="1:35">
      <c r="A51" t="str">
        <f t="shared" si="0"/>
        <v/>
      </c>
      <c r="N51" s="3"/>
      <c r="O51" s="3"/>
      <c r="P51" s="3"/>
      <c r="Q51" s="3"/>
      <c r="S51" s="2"/>
      <c r="T51" s="2"/>
      <c r="V51" s="3"/>
      <c r="Z51" s="3"/>
      <c r="AB51" s="3"/>
      <c r="AE51" s="4"/>
      <c r="AH51" s="3"/>
      <c r="AI51" s="5" t="str">
        <f t="shared" ca="1" si="1"/>
        <v/>
      </c>
    </row>
    <row r="52" spans="1:35">
      <c r="A52" t="str">
        <f t="shared" si="0"/>
        <v/>
      </c>
      <c r="N52" s="3"/>
      <c r="O52" s="3"/>
      <c r="P52" s="3"/>
      <c r="Q52" s="3"/>
      <c r="S52" s="2"/>
      <c r="T52" s="2"/>
      <c r="V52" s="3"/>
      <c r="Z52" s="3"/>
      <c r="AB52" s="3"/>
      <c r="AE52" s="4"/>
      <c r="AH52" s="3"/>
      <c r="AI52" s="5" t="str">
        <f t="shared" ca="1" si="1"/>
        <v/>
      </c>
    </row>
    <row r="53" spans="1:35">
      <c r="A53" t="str">
        <f t="shared" si="0"/>
        <v/>
      </c>
      <c r="N53" s="3"/>
      <c r="O53" s="3"/>
      <c r="P53" s="3"/>
      <c r="Q53" s="3"/>
      <c r="S53" s="2"/>
      <c r="T53" s="2"/>
      <c r="V53" s="3"/>
      <c r="Z53" s="3"/>
      <c r="AB53" s="3"/>
      <c r="AE53" s="4"/>
      <c r="AH53" s="3"/>
      <c r="AI53" s="5" t="str">
        <f t="shared" ca="1" si="1"/>
        <v/>
      </c>
    </row>
    <row r="54" spans="1:35">
      <c r="A54" t="str">
        <f t="shared" si="0"/>
        <v/>
      </c>
      <c r="N54" s="3"/>
      <c r="O54" s="3"/>
      <c r="P54" s="3"/>
      <c r="Q54" s="3"/>
      <c r="S54" s="2"/>
      <c r="T54" s="2"/>
      <c r="V54" s="3"/>
      <c r="Z54" s="3"/>
      <c r="AB54" s="3"/>
      <c r="AE54" s="4"/>
      <c r="AH54" s="3"/>
      <c r="AI54" s="5" t="str">
        <f t="shared" ca="1" si="1"/>
        <v/>
      </c>
    </row>
    <row r="55" spans="1:35">
      <c r="A55" t="str">
        <f t="shared" si="0"/>
        <v/>
      </c>
      <c r="N55" s="3"/>
      <c r="O55" s="3"/>
      <c r="P55" s="3"/>
      <c r="Q55" s="3"/>
      <c r="S55" s="2"/>
      <c r="T55" s="2"/>
      <c r="V55" s="3"/>
      <c r="Z55" s="3"/>
      <c r="AB55" s="3"/>
      <c r="AE55" s="4"/>
      <c r="AH55" s="3"/>
      <c r="AI55" s="5" t="str">
        <f t="shared" ca="1" si="1"/>
        <v/>
      </c>
    </row>
    <row r="56" spans="1:35">
      <c r="A56" t="str">
        <f t="shared" si="0"/>
        <v/>
      </c>
      <c r="N56" s="3"/>
      <c r="O56" s="3"/>
      <c r="P56" s="3"/>
      <c r="Q56" s="3"/>
      <c r="S56" s="2"/>
      <c r="T56" s="2"/>
      <c r="V56" s="3"/>
      <c r="Z56" s="3"/>
      <c r="AB56" s="3"/>
      <c r="AE56" s="4"/>
      <c r="AH56" s="3"/>
      <c r="AI56" s="5" t="str">
        <f t="shared" ca="1" si="1"/>
        <v/>
      </c>
    </row>
    <row r="57" spans="1:35">
      <c r="A57" t="str">
        <f t="shared" si="0"/>
        <v/>
      </c>
      <c r="N57" s="3"/>
      <c r="O57" s="3"/>
      <c r="P57" s="3"/>
      <c r="Q57" s="3"/>
      <c r="S57" s="2"/>
      <c r="T57" s="2"/>
      <c r="V57" s="3"/>
      <c r="Z57" s="3"/>
      <c r="AB57" s="3"/>
      <c r="AE57" s="4"/>
      <c r="AH57" s="3"/>
      <c r="AI57" s="5" t="str">
        <f t="shared" ca="1" si="1"/>
        <v/>
      </c>
    </row>
    <row r="58" spans="1:35">
      <c r="A58" t="str">
        <f t="shared" si="0"/>
        <v/>
      </c>
      <c r="N58" s="3"/>
      <c r="O58" s="3"/>
      <c r="P58" s="3"/>
      <c r="Q58" s="3"/>
      <c r="S58" s="2"/>
      <c r="T58" s="2"/>
      <c r="V58" s="3"/>
      <c r="Z58" s="3"/>
      <c r="AB58" s="3"/>
      <c r="AE58" s="4"/>
      <c r="AH58" s="3"/>
      <c r="AI58" s="5" t="str">
        <f t="shared" ca="1" si="1"/>
        <v/>
      </c>
    </row>
    <row r="59" spans="1:35">
      <c r="A59" t="str">
        <f t="shared" si="0"/>
        <v/>
      </c>
      <c r="N59" s="3"/>
      <c r="O59" s="3"/>
      <c r="P59" s="3"/>
      <c r="Q59" s="3"/>
      <c r="S59" s="2"/>
      <c r="T59" s="2"/>
      <c r="V59" s="3"/>
      <c r="Z59" s="3"/>
      <c r="AB59" s="3"/>
      <c r="AE59" s="4"/>
      <c r="AH59" s="3"/>
      <c r="AI59" s="5" t="str">
        <f t="shared" ca="1" si="1"/>
        <v/>
      </c>
    </row>
    <row r="60" spans="1:35">
      <c r="A60" t="str">
        <f t="shared" si="0"/>
        <v/>
      </c>
      <c r="N60" s="3"/>
      <c r="O60" s="3"/>
      <c r="P60" s="3"/>
      <c r="Q60" s="3"/>
      <c r="S60" s="2"/>
      <c r="T60" s="2"/>
      <c r="V60" s="3"/>
      <c r="Z60" s="3"/>
      <c r="AB60" s="3"/>
      <c r="AE60" s="4"/>
      <c r="AH60" s="3"/>
      <c r="AI60" s="5" t="str">
        <f t="shared" ca="1" si="1"/>
        <v/>
      </c>
    </row>
    <row r="61" spans="1:35">
      <c r="A61" t="str">
        <f t="shared" si="0"/>
        <v/>
      </c>
      <c r="N61" s="3"/>
      <c r="O61" s="3"/>
      <c r="P61" s="3"/>
      <c r="Q61" s="3"/>
      <c r="S61" s="2"/>
      <c r="T61" s="2"/>
      <c r="V61" s="3"/>
      <c r="Z61" s="3"/>
      <c r="AB61" s="3"/>
      <c r="AE61" s="4"/>
      <c r="AH61" s="3"/>
      <c r="AI61" s="5" t="str">
        <f t="shared" ca="1" si="1"/>
        <v/>
      </c>
    </row>
    <row r="62" spans="1:35">
      <c r="A62" t="str">
        <f t="shared" si="0"/>
        <v/>
      </c>
      <c r="N62" s="3"/>
      <c r="O62" s="3"/>
      <c r="P62" s="3"/>
      <c r="Q62" s="3"/>
      <c r="S62" s="2"/>
      <c r="T62" s="2"/>
      <c r="V62" s="3"/>
      <c r="Z62" s="3"/>
      <c r="AB62" s="3"/>
      <c r="AE62" s="4"/>
      <c r="AH62" s="3"/>
      <c r="AI62" s="5" t="str">
        <f t="shared" ca="1" si="1"/>
        <v/>
      </c>
    </row>
    <row r="63" spans="1:35">
      <c r="A63" t="str">
        <f t="shared" si="0"/>
        <v/>
      </c>
      <c r="N63" s="3"/>
      <c r="O63" s="3"/>
      <c r="P63" s="3"/>
      <c r="Q63" s="3"/>
      <c r="S63" s="2"/>
      <c r="T63" s="2"/>
      <c r="V63" s="3"/>
      <c r="Z63" s="3"/>
      <c r="AB63" s="3"/>
      <c r="AE63" s="4"/>
      <c r="AH63" s="3"/>
      <c r="AI63" s="5" t="str">
        <f t="shared" ca="1" si="1"/>
        <v/>
      </c>
    </row>
    <row r="64" spans="1:35">
      <c r="A64" t="str">
        <f t="shared" si="0"/>
        <v/>
      </c>
      <c r="N64" s="3"/>
      <c r="O64" s="3"/>
      <c r="P64" s="3"/>
      <c r="Q64" s="3"/>
      <c r="S64" s="2"/>
      <c r="T64" s="2"/>
      <c r="V64" s="3"/>
      <c r="Z64" s="3"/>
      <c r="AB64" s="3"/>
      <c r="AE64" s="4"/>
      <c r="AH64" s="3"/>
      <c r="AI64" s="5" t="str">
        <f t="shared" ca="1" si="1"/>
        <v/>
      </c>
    </row>
    <row r="65" spans="1:35">
      <c r="A65" t="str">
        <f t="shared" si="0"/>
        <v/>
      </c>
      <c r="N65" s="3"/>
      <c r="O65" s="3"/>
      <c r="P65" s="3"/>
      <c r="Q65" s="3"/>
      <c r="S65" s="2"/>
      <c r="T65" s="2"/>
      <c r="V65" s="3"/>
      <c r="Z65" s="3"/>
      <c r="AB65" s="3"/>
      <c r="AE65" s="4"/>
      <c r="AH65" s="3"/>
      <c r="AI65" s="5" t="str">
        <f t="shared" ca="1" si="1"/>
        <v/>
      </c>
    </row>
    <row r="66" spans="1:35">
      <c r="A66" t="str">
        <f t="shared" si="0"/>
        <v/>
      </c>
      <c r="N66" s="3"/>
      <c r="O66" s="3"/>
      <c r="P66" s="3"/>
      <c r="Q66" s="3"/>
      <c r="S66" s="2"/>
      <c r="T66" s="2"/>
      <c r="V66" s="3"/>
      <c r="Z66" s="3"/>
      <c r="AB66" s="3"/>
      <c r="AE66" s="4"/>
      <c r="AH66" s="3"/>
      <c r="AI66" s="5" t="str">
        <f t="shared" ca="1" si="1"/>
        <v/>
      </c>
    </row>
    <row r="67" spans="1:35">
      <c r="A67" t="str">
        <f t="shared" si="0"/>
        <v/>
      </c>
      <c r="N67" s="3"/>
      <c r="O67" s="3"/>
      <c r="P67" s="3"/>
      <c r="Q67" s="3"/>
      <c r="S67" s="2"/>
      <c r="T67" s="2"/>
      <c r="V67" s="3"/>
      <c r="Z67" s="3"/>
      <c r="AB67" s="3"/>
      <c r="AE67" s="4"/>
      <c r="AH67" s="3"/>
      <c r="AI67" s="5" t="str">
        <f t="shared" ca="1" si="1"/>
        <v/>
      </c>
    </row>
    <row r="68" spans="1:35">
      <c r="A68" t="str">
        <f t="shared" si="0"/>
        <v/>
      </c>
      <c r="N68" s="3"/>
      <c r="O68" s="3"/>
      <c r="P68" s="3"/>
      <c r="Q68" s="3"/>
      <c r="S68" s="2"/>
      <c r="T68" s="2"/>
      <c r="V68" s="3"/>
      <c r="Z68" s="3"/>
      <c r="AB68" s="3"/>
      <c r="AE68" s="4"/>
      <c r="AH68" s="3"/>
      <c r="AI68" s="5" t="str">
        <f t="shared" ca="1" si="1"/>
        <v/>
      </c>
    </row>
    <row r="69" spans="1:35">
      <c r="A69" t="str">
        <f t="shared" ref="A69:A132" si="2">IF(B69="","",ROW()-4)</f>
        <v/>
      </c>
      <c r="N69" s="3"/>
      <c r="O69" s="3"/>
      <c r="P69" s="3"/>
      <c r="Q69" s="3"/>
      <c r="S69" s="2"/>
      <c r="T69" s="2"/>
      <c r="V69" s="3"/>
      <c r="Z69" s="3"/>
      <c r="AB69" s="3"/>
      <c r="AE69" s="4"/>
      <c r="AH69" s="3"/>
      <c r="AI69" s="5" t="str">
        <f t="shared" ref="AI69:AI132" ca="1" si="3">IF(V69="","",V69-TODAY())</f>
        <v/>
      </c>
    </row>
    <row r="70" spans="1:35">
      <c r="A70" t="str">
        <f t="shared" si="2"/>
        <v/>
      </c>
      <c r="N70" s="3"/>
      <c r="O70" s="3"/>
      <c r="P70" s="3"/>
      <c r="Q70" s="3"/>
      <c r="S70" s="2"/>
      <c r="T70" s="2"/>
      <c r="V70" s="3"/>
      <c r="Z70" s="3"/>
      <c r="AB70" s="3"/>
      <c r="AE70" s="4"/>
      <c r="AH70" s="3"/>
      <c r="AI70" s="5" t="str">
        <f t="shared" ca="1" si="3"/>
        <v/>
      </c>
    </row>
    <row r="71" spans="1:35">
      <c r="A71" t="str">
        <f t="shared" si="2"/>
        <v/>
      </c>
      <c r="N71" s="3"/>
      <c r="O71" s="3"/>
      <c r="P71" s="3"/>
      <c r="Q71" s="3"/>
      <c r="S71" s="2"/>
      <c r="T71" s="2"/>
      <c r="V71" s="3"/>
      <c r="Z71" s="3"/>
      <c r="AB71" s="3"/>
      <c r="AE71" s="4"/>
      <c r="AH71" s="3"/>
      <c r="AI71" s="5" t="str">
        <f t="shared" ca="1" si="3"/>
        <v/>
      </c>
    </row>
    <row r="72" spans="1:35">
      <c r="A72" t="str">
        <f t="shared" si="2"/>
        <v/>
      </c>
      <c r="N72" s="3"/>
      <c r="O72" s="3"/>
      <c r="P72" s="3"/>
      <c r="Q72" s="3"/>
      <c r="S72" s="2"/>
      <c r="T72" s="2"/>
      <c r="V72" s="3"/>
      <c r="Z72" s="3"/>
      <c r="AB72" s="3"/>
      <c r="AE72" s="4"/>
      <c r="AH72" s="3"/>
      <c r="AI72" s="5" t="str">
        <f t="shared" ca="1" si="3"/>
        <v/>
      </c>
    </row>
    <row r="73" spans="1:35">
      <c r="A73" t="str">
        <f t="shared" si="2"/>
        <v/>
      </c>
      <c r="N73" s="3"/>
      <c r="O73" s="3"/>
      <c r="P73" s="3"/>
      <c r="Q73" s="3"/>
      <c r="S73" s="2"/>
      <c r="T73" s="2"/>
      <c r="V73" s="3"/>
      <c r="Z73" s="3"/>
      <c r="AB73" s="3"/>
      <c r="AE73" s="4"/>
      <c r="AH73" s="3"/>
      <c r="AI73" s="5" t="str">
        <f t="shared" ca="1" si="3"/>
        <v/>
      </c>
    </row>
    <row r="74" spans="1:35">
      <c r="A74" t="str">
        <f t="shared" si="2"/>
        <v/>
      </c>
      <c r="N74" s="3"/>
      <c r="O74" s="3"/>
      <c r="P74" s="3"/>
      <c r="Q74" s="3"/>
      <c r="S74" s="2"/>
      <c r="T74" s="2"/>
      <c r="V74" s="3"/>
      <c r="Z74" s="3"/>
      <c r="AB74" s="3"/>
      <c r="AE74" s="4"/>
      <c r="AH74" s="3"/>
      <c r="AI74" s="5" t="str">
        <f t="shared" ca="1" si="3"/>
        <v/>
      </c>
    </row>
    <row r="75" spans="1:35">
      <c r="A75" t="str">
        <f t="shared" si="2"/>
        <v/>
      </c>
      <c r="N75" s="3"/>
      <c r="O75" s="3"/>
      <c r="P75" s="3"/>
      <c r="Q75" s="3"/>
      <c r="S75" s="2"/>
      <c r="T75" s="2"/>
      <c r="V75" s="3"/>
      <c r="Z75" s="3"/>
      <c r="AB75" s="3"/>
      <c r="AE75" s="4"/>
      <c r="AH75" s="3"/>
      <c r="AI75" s="5" t="str">
        <f t="shared" ca="1" si="3"/>
        <v/>
      </c>
    </row>
    <row r="76" spans="1:35">
      <c r="A76" t="str">
        <f t="shared" si="2"/>
        <v/>
      </c>
      <c r="N76" s="3"/>
      <c r="O76" s="3"/>
      <c r="P76" s="3"/>
      <c r="Q76" s="3"/>
      <c r="S76" s="2"/>
      <c r="T76" s="2"/>
      <c r="V76" s="3"/>
      <c r="Z76" s="3"/>
      <c r="AB76" s="3"/>
      <c r="AE76" s="4"/>
      <c r="AH76" s="3"/>
      <c r="AI76" s="5" t="str">
        <f t="shared" ca="1" si="3"/>
        <v/>
      </c>
    </row>
    <row r="77" spans="1:35">
      <c r="A77" t="str">
        <f t="shared" si="2"/>
        <v/>
      </c>
      <c r="N77" s="3"/>
      <c r="O77" s="3"/>
      <c r="P77" s="3"/>
      <c r="Q77" s="3"/>
      <c r="S77" s="2"/>
      <c r="T77" s="2"/>
      <c r="V77" s="3"/>
      <c r="Z77" s="3"/>
      <c r="AB77" s="3"/>
      <c r="AE77" s="4"/>
      <c r="AH77" s="3"/>
      <c r="AI77" s="5" t="str">
        <f t="shared" ca="1" si="3"/>
        <v/>
      </c>
    </row>
    <row r="78" spans="1:35">
      <c r="A78" t="str">
        <f t="shared" si="2"/>
        <v/>
      </c>
      <c r="N78" s="3"/>
      <c r="O78" s="3"/>
      <c r="P78" s="3"/>
      <c r="Q78" s="3"/>
      <c r="S78" s="2"/>
      <c r="T78" s="2"/>
      <c r="V78" s="3"/>
      <c r="Z78" s="3"/>
      <c r="AB78" s="3"/>
      <c r="AE78" s="4"/>
      <c r="AH78" s="3"/>
      <c r="AI78" s="5" t="str">
        <f t="shared" ca="1" si="3"/>
        <v/>
      </c>
    </row>
    <row r="79" spans="1:35">
      <c r="A79" t="str">
        <f t="shared" si="2"/>
        <v/>
      </c>
      <c r="N79" s="3"/>
      <c r="O79" s="3"/>
      <c r="P79" s="3"/>
      <c r="Q79" s="3"/>
      <c r="S79" s="2"/>
      <c r="T79" s="2"/>
      <c r="V79" s="3"/>
      <c r="Z79" s="3"/>
      <c r="AB79" s="3"/>
      <c r="AE79" s="4"/>
      <c r="AH79" s="3"/>
      <c r="AI79" s="5" t="str">
        <f t="shared" ca="1" si="3"/>
        <v/>
      </c>
    </row>
    <row r="80" spans="1:35">
      <c r="A80" t="str">
        <f t="shared" si="2"/>
        <v/>
      </c>
      <c r="N80" s="3"/>
      <c r="O80" s="3"/>
      <c r="P80" s="3"/>
      <c r="Q80" s="3"/>
      <c r="S80" s="2"/>
      <c r="T80" s="2"/>
      <c r="V80" s="3"/>
      <c r="Z80" s="3"/>
      <c r="AB80" s="3"/>
      <c r="AE80" s="4"/>
      <c r="AH80" s="3"/>
      <c r="AI80" s="5" t="str">
        <f t="shared" ca="1" si="3"/>
        <v/>
      </c>
    </row>
    <row r="81" spans="1:35">
      <c r="A81" t="str">
        <f t="shared" si="2"/>
        <v/>
      </c>
      <c r="N81" s="3"/>
      <c r="O81" s="3"/>
      <c r="P81" s="3"/>
      <c r="Q81" s="3"/>
      <c r="S81" s="2"/>
      <c r="T81" s="2"/>
      <c r="V81" s="3"/>
      <c r="Z81" s="3"/>
      <c r="AB81" s="3"/>
      <c r="AE81" s="4"/>
      <c r="AH81" s="3"/>
      <c r="AI81" s="5" t="str">
        <f t="shared" ca="1" si="3"/>
        <v/>
      </c>
    </row>
    <row r="82" spans="1:35">
      <c r="A82" t="str">
        <f t="shared" si="2"/>
        <v/>
      </c>
      <c r="N82" s="3"/>
      <c r="O82" s="3"/>
      <c r="P82" s="3"/>
      <c r="Q82" s="3"/>
      <c r="S82" s="2"/>
      <c r="T82" s="2"/>
      <c r="V82" s="3"/>
      <c r="Z82" s="3"/>
      <c r="AB82" s="3"/>
      <c r="AE82" s="4"/>
      <c r="AH82" s="3"/>
      <c r="AI82" s="5" t="str">
        <f t="shared" ca="1" si="3"/>
        <v/>
      </c>
    </row>
    <row r="83" spans="1:35">
      <c r="A83" t="str">
        <f t="shared" si="2"/>
        <v/>
      </c>
      <c r="N83" s="3"/>
      <c r="O83" s="3"/>
      <c r="P83" s="3"/>
      <c r="Q83" s="3"/>
      <c r="S83" s="2"/>
      <c r="T83" s="2"/>
      <c r="V83" s="3"/>
      <c r="Z83" s="3"/>
      <c r="AB83" s="3"/>
      <c r="AE83" s="4"/>
      <c r="AH83" s="3"/>
      <c r="AI83" s="5" t="str">
        <f t="shared" ca="1" si="3"/>
        <v/>
      </c>
    </row>
    <row r="84" spans="1:35">
      <c r="A84" t="str">
        <f t="shared" si="2"/>
        <v/>
      </c>
      <c r="N84" s="3"/>
      <c r="O84" s="3"/>
      <c r="P84" s="3"/>
      <c r="Q84" s="3"/>
      <c r="S84" s="2"/>
      <c r="T84" s="2"/>
      <c r="V84" s="3"/>
      <c r="Z84" s="3"/>
      <c r="AB84" s="3"/>
      <c r="AE84" s="4"/>
      <c r="AH84" s="3"/>
      <c r="AI84" s="5" t="str">
        <f t="shared" ca="1" si="3"/>
        <v/>
      </c>
    </row>
    <row r="85" spans="1:35">
      <c r="A85" t="str">
        <f t="shared" si="2"/>
        <v/>
      </c>
      <c r="N85" s="3"/>
      <c r="O85" s="3"/>
      <c r="P85" s="3"/>
      <c r="Q85" s="3"/>
      <c r="S85" s="2"/>
      <c r="T85" s="2"/>
      <c r="V85" s="3"/>
      <c r="Z85" s="3"/>
      <c r="AB85" s="3"/>
      <c r="AE85" s="4"/>
      <c r="AH85" s="3"/>
      <c r="AI85" s="5" t="str">
        <f t="shared" ca="1" si="3"/>
        <v/>
      </c>
    </row>
    <row r="86" spans="1:35">
      <c r="A86" t="str">
        <f t="shared" si="2"/>
        <v/>
      </c>
      <c r="N86" s="3"/>
      <c r="O86" s="3"/>
      <c r="P86" s="3"/>
      <c r="Q86" s="3"/>
      <c r="S86" s="2"/>
      <c r="T86" s="2"/>
      <c r="V86" s="3"/>
      <c r="Z86" s="3"/>
      <c r="AB86" s="3"/>
      <c r="AE86" s="4"/>
      <c r="AH86" s="3"/>
      <c r="AI86" s="5" t="str">
        <f t="shared" ca="1" si="3"/>
        <v/>
      </c>
    </row>
    <row r="87" spans="1:35">
      <c r="A87" t="str">
        <f t="shared" si="2"/>
        <v/>
      </c>
      <c r="N87" s="3"/>
      <c r="O87" s="3"/>
      <c r="P87" s="3"/>
      <c r="Q87" s="3"/>
      <c r="S87" s="2"/>
      <c r="T87" s="2"/>
      <c r="V87" s="3"/>
      <c r="Z87" s="3"/>
      <c r="AB87" s="3"/>
      <c r="AE87" s="4"/>
      <c r="AH87" s="3"/>
      <c r="AI87" s="5" t="str">
        <f t="shared" ca="1" si="3"/>
        <v/>
      </c>
    </row>
    <row r="88" spans="1:35">
      <c r="A88" t="str">
        <f t="shared" si="2"/>
        <v/>
      </c>
      <c r="N88" s="3"/>
      <c r="O88" s="3"/>
      <c r="P88" s="3"/>
      <c r="Q88" s="3"/>
      <c r="S88" s="2"/>
      <c r="T88" s="2"/>
      <c r="V88" s="3"/>
      <c r="Z88" s="3"/>
      <c r="AB88" s="3"/>
      <c r="AE88" s="4"/>
      <c r="AH88" s="3"/>
      <c r="AI88" s="5" t="str">
        <f t="shared" ca="1" si="3"/>
        <v/>
      </c>
    </row>
    <row r="89" spans="1:35">
      <c r="A89" t="str">
        <f t="shared" si="2"/>
        <v/>
      </c>
      <c r="N89" s="3"/>
      <c r="O89" s="3"/>
      <c r="P89" s="3"/>
      <c r="Q89" s="3"/>
      <c r="S89" s="2"/>
      <c r="T89" s="2"/>
      <c r="V89" s="3"/>
      <c r="Z89" s="3"/>
      <c r="AB89" s="3"/>
      <c r="AE89" s="4"/>
      <c r="AH89" s="3"/>
      <c r="AI89" s="5" t="str">
        <f t="shared" ca="1" si="3"/>
        <v/>
      </c>
    </row>
    <row r="90" spans="1:35">
      <c r="A90" t="str">
        <f t="shared" si="2"/>
        <v/>
      </c>
      <c r="N90" s="3"/>
      <c r="O90" s="3"/>
      <c r="P90" s="3"/>
      <c r="Q90" s="3"/>
      <c r="S90" s="2"/>
      <c r="T90" s="2"/>
      <c r="V90" s="3"/>
      <c r="Z90" s="3"/>
      <c r="AB90" s="3"/>
      <c r="AE90" s="4"/>
      <c r="AH90" s="3"/>
      <c r="AI90" s="5" t="str">
        <f t="shared" ca="1" si="3"/>
        <v/>
      </c>
    </row>
    <row r="91" spans="1:35">
      <c r="A91" t="str">
        <f t="shared" si="2"/>
        <v/>
      </c>
      <c r="N91" s="3"/>
      <c r="O91" s="3"/>
      <c r="P91" s="3"/>
      <c r="Q91" s="3"/>
      <c r="S91" s="2"/>
      <c r="T91" s="2"/>
      <c r="V91" s="3"/>
      <c r="Z91" s="3"/>
      <c r="AB91" s="3"/>
      <c r="AE91" s="4"/>
      <c r="AH91" s="3"/>
      <c r="AI91" s="5" t="str">
        <f t="shared" ca="1" si="3"/>
        <v/>
      </c>
    </row>
    <row r="92" spans="1:35">
      <c r="A92" t="str">
        <f t="shared" si="2"/>
        <v/>
      </c>
      <c r="N92" s="3"/>
      <c r="O92" s="3"/>
      <c r="P92" s="3"/>
      <c r="Q92" s="3"/>
      <c r="S92" s="2"/>
      <c r="T92" s="2"/>
      <c r="V92" s="3"/>
      <c r="Z92" s="3"/>
      <c r="AB92" s="3"/>
      <c r="AE92" s="4"/>
      <c r="AH92" s="3"/>
      <c r="AI92" s="5" t="str">
        <f t="shared" ca="1" si="3"/>
        <v/>
      </c>
    </row>
    <row r="93" spans="1:35">
      <c r="A93" t="str">
        <f t="shared" si="2"/>
        <v/>
      </c>
      <c r="N93" s="3"/>
      <c r="O93" s="3"/>
      <c r="P93" s="3"/>
      <c r="Q93" s="3"/>
      <c r="S93" s="2"/>
      <c r="T93" s="2"/>
      <c r="V93" s="3"/>
      <c r="Z93" s="3"/>
      <c r="AB93" s="3"/>
      <c r="AE93" s="4"/>
      <c r="AH93" s="3"/>
      <c r="AI93" s="5" t="str">
        <f t="shared" ca="1" si="3"/>
        <v/>
      </c>
    </row>
    <row r="94" spans="1:35">
      <c r="A94" t="str">
        <f t="shared" si="2"/>
        <v/>
      </c>
      <c r="N94" s="3"/>
      <c r="O94" s="3"/>
      <c r="P94" s="3"/>
      <c r="Q94" s="3"/>
      <c r="S94" s="2"/>
      <c r="T94" s="2"/>
      <c r="V94" s="3"/>
      <c r="Z94" s="3"/>
      <c r="AB94" s="3"/>
      <c r="AE94" s="4"/>
      <c r="AH94" s="3"/>
      <c r="AI94" s="5" t="str">
        <f t="shared" ca="1" si="3"/>
        <v/>
      </c>
    </row>
    <row r="95" spans="1:35">
      <c r="A95" t="str">
        <f t="shared" si="2"/>
        <v/>
      </c>
      <c r="N95" s="3"/>
      <c r="O95" s="3"/>
      <c r="P95" s="3"/>
      <c r="Q95" s="3"/>
      <c r="S95" s="2"/>
      <c r="T95" s="2"/>
      <c r="V95" s="3"/>
      <c r="Z95" s="3"/>
      <c r="AB95" s="3"/>
      <c r="AE95" s="4"/>
      <c r="AH95" s="3"/>
      <c r="AI95" s="5" t="str">
        <f t="shared" ca="1" si="3"/>
        <v/>
      </c>
    </row>
    <row r="96" spans="1:35">
      <c r="A96" t="str">
        <f t="shared" si="2"/>
        <v/>
      </c>
      <c r="N96" s="3"/>
      <c r="O96" s="3"/>
      <c r="P96" s="3"/>
      <c r="Q96" s="3"/>
      <c r="S96" s="2"/>
      <c r="T96" s="2"/>
      <c r="V96" s="3"/>
      <c r="Z96" s="3"/>
      <c r="AB96" s="3"/>
      <c r="AE96" s="4"/>
      <c r="AH96" s="3"/>
      <c r="AI96" s="5" t="str">
        <f t="shared" ca="1" si="3"/>
        <v/>
      </c>
    </row>
    <row r="97" spans="1:35">
      <c r="A97" t="str">
        <f t="shared" si="2"/>
        <v/>
      </c>
      <c r="N97" s="3"/>
      <c r="O97" s="3"/>
      <c r="P97" s="3"/>
      <c r="Q97" s="3"/>
      <c r="S97" s="2"/>
      <c r="T97" s="2"/>
      <c r="V97" s="3"/>
      <c r="Z97" s="3"/>
      <c r="AB97" s="3"/>
      <c r="AE97" s="4"/>
      <c r="AH97" s="3"/>
      <c r="AI97" s="5" t="str">
        <f t="shared" ca="1" si="3"/>
        <v/>
      </c>
    </row>
    <row r="98" spans="1:35">
      <c r="A98" t="str">
        <f t="shared" si="2"/>
        <v/>
      </c>
      <c r="N98" s="3"/>
      <c r="O98" s="3"/>
      <c r="P98" s="3"/>
      <c r="Q98" s="3"/>
      <c r="S98" s="2"/>
      <c r="T98" s="2"/>
      <c r="V98" s="3"/>
      <c r="Z98" s="3"/>
      <c r="AB98" s="3"/>
      <c r="AE98" s="4"/>
      <c r="AH98" s="3"/>
      <c r="AI98" s="5" t="str">
        <f t="shared" ca="1" si="3"/>
        <v/>
      </c>
    </row>
    <row r="99" spans="1:35">
      <c r="A99" t="str">
        <f t="shared" si="2"/>
        <v/>
      </c>
      <c r="N99" s="3"/>
      <c r="O99" s="3"/>
      <c r="P99" s="3"/>
      <c r="Q99" s="3"/>
      <c r="S99" s="2"/>
      <c r="T99" s="2"/>
      <c r="V99" s="3"/>
      <c r="Z99" s="3"/>
      <c r="AB99" s="3"/>
      <c r="AE99" s="4"/>
      <c r="AH99" s="3"/>
      <c r="AI99" s="5" t="str">
        <f t="shared" ca="1" si="3"/>
        <v/>
      </c>
    </row>
    <row r="100" spans="1:35">
      <c r="A100" t="str">
        <f t="shared" si="2"/>
        <v/>
      </c>
      <c r="N100" s="3"/>
      <c r="O100" s="3"/>
      <c r="P100" s="3"/>
      <c r="Q100" s="3"/>
      <c r="S100" s="2"/>
      <c r="T100" s="2"/>
      <c r="V100" s="3"/>
      <c r="Z100" s="3"/>
      <c r="AB100" s="3"/>
      <c r="AE100" s="4"/>
      <c r="AH100" s="3"/>
      <c r="AI100" s="5" t="str">
        <f t="shared" ca="1" si="3"/>
        <v/>
      </c>
    </row>
    <row r="101" spans="1:35">
      <c r="A101" t="str">
        <f t="shared" si="2"/>
        <v/>
      </c>
      <c r="N101" s="3"/>
      <c r="O101" s="3"/>
      <c r="P101" s="3"/>
      <c r="Q101" s="3"/>
      <c r="S101" s="2"/>
      <c r="T101" s="2"/>
      <c r="V101" s="3"/>
      <c r="Z101" s="3"/>
      <c r="AB101" s="3"/>
      <c r="AE101" s="4"/>
      <c r="AH101" s="3"/>
      <c r="AI101" s="5" t="str">
        <f t="shared" ca="1" si="3"/>
        <v/>
      </c>
    </row>
    <row r="102" spans="1:35">
      <c r="A102" t="str">
        <f t="shared" si="2"/>
        <v/>
      </c>
      <c r="N102" s="3"/>
      <c r="O102" s="3"/>
      <c r="P102" s="3"/>
      <c r="Q102" s="3"/>
      <c r="S102" s="2"/>
      <c r="T102" s="2"/>
      <c r="V102" s="3"/>
      <c r="Z102" s="3"/>
      <c r="AB102" s="3"/>
      <c r="AE102" s="4"/>
      <c r="AH102" s="3"/>
      <c r="AI102" s="5" t="str">
        <f t="shared" ca="1" si="3"/>
        <v/>
      </c>
    </row>
    <row r="103" spans="1:35">
      <c r="A103" t="str">
        <f t="shared" si="2"/>
        <v/>
      </c>
      <c r="N103" s="3"/>
      <c r="O103" s="3"/>
      <c r="P103" s="3"/>
      <c r="Q103" s="3"/>
      <c r="S103" s="2"/>
      <c r="T103" s="2"/>
      <c r="V103" s="3"/>
      <c r="Z103" s="3"/>
      <c r="AB103" s="3"/>
      <c r="AE103" s="4"/>
      <c r="AH103" s="3"/>
      <c r="AI103" s="5" t="str">
        <f t="shared" ca="1" si="3"/>
        <v/>
      </c>
    </row>
    <row r="104" spans="1:35">
      <c r="A104" t="str">
        <f t="shared" si="2"/>
        <v/>
      </c>
      <c r="N104" s="3"/>
      <c r="O104" s="3"/>
      <c r="P104" s="3"/>
      <c r="Q104" s="3"/>
      <c r="S104" s="2"/>
      <c r="T104" s="2"/>
      <c r="V104" s="3"/>
      <c r="Z104" s="3"/>
      <c r="AB104" s="3"/>
      <c r="AE104" s="4"/>
      <c r="AH104" s="3"/>
      <c r="AI104" s="5" t="str">
        <f t="shared" ca="1" si="3"/>
        <v/>
      </c>
    </row>
    <row r="105" spans="1:35">
      <c r="A105" t="str">
        <f t="shared" si="2"/>
        <v/>
      </c>
      <c r="N105" s="3"/>
      <c r="O105" s="3"/>
      <c r="P105" s="3"/>
      <c r="Q105" s="3"/>
      <c r="S105" s="2"/>
      <c r="T105" s="2"/>
      <c r="V105" s="3"/>
      <c r="Z105" s="3"/>
      <c r="AB105" s="3"/>
      <c r="AE105" s="4"/>
      <c r="AH105" s="3"/>
      <c r="AI105" s="5" t="str">
        <f t="shared" ca="1" si="3"/>
        <v/>
      </c>
    </row>
    <row r="106" spans="1:35">
      <c r="A106" t="str">
        <f t="shared" si="2"/>
        <v/>
      </c>
      <c r="N106" s="3"/>
      <c r="O106" s="3"/>
      <c r="P106" s="3"/>
      <c r="Q106" s="3"/>
      <c r="S106" s="2"/>
      <c r="T106" s="2"/>
      <c r="V106" s="3"/>
      <c r="Z106" s="3"/>
      <c r="AB106" s="3"/>
      <c r="AE106" s="4"/>
      <c r="AH106" s="3"/>
      <c r="AI106" s="5" t="str">
        <f t="shared" ca="1" si="3"/>
        <v/>
      </c>
    </row>
    <row r="107" spans="1:35">
      <c r="A107" t="str">
        <f t="shared" si="2"/>
        <v/>
      </c>
      <c r="N107" s="3"/>
      <c r="O107" s="3"/>
      <c r="P107" s="3"/>
      <c r="Q107" s="3"/>
      <c r="S107" s="2"/>
      <c r="T107" s="2"/>
      <c r="V107" s="3"/>
      <c r="Z107" s="3"/>
      <c r="AB107" s="3"/>
      <c r="AE107" s="4"/>
      <c r="AH107" s="3"/>
      <c r="AI107" s="5" t="str">
        <f t="shared" ca="1" si="3"/>
        <v/>
      </c>
    </row>
    <row r="108" spans="1:35">
      <c r="A108" t="str">
        <f t="shared" si="2"/>
        <v/>
      </c>
      <c r="N108" s="3"/>
      <c r="O108" s="3"/>
      <c r="P108" s="3"/>
      <c r="Q108" s="3"/>
      <c r="S108" s="2"/>
      <c r="T108" s="2"/>
      <c r="V108" s="3"/>
      <c r="Z108" s="3"/>
      <c r="AB108" s="3"/>
      <c r="AE108" s="4"/>
      <c r="AH108" s="3"/>
      <c r="AI108" s="5" t="str">
        <f t="shared" ca="1" si="3"/>
        <v/>
      </c>
    </row>
    <row r="109" spans="1:35">
      <c r="A109" t="str">
        <f t="shared" si="2"/>
        <v/>
      </c>
      <c r="N109" s="3"/>
      <c r="O109" s="3"/>
      <c r="P109" s="3"/>
      <c r="Q109" s="3"/>
      <c r="S109" s="2"/>
      <c r="T109" s="2"/>
      <c r="V109" s="3"/>
      <c r="Z109" s="3"/>
      <c r="AB109" s="3"/>
      <c r="AE109" s="4"/>
      <c r="AH109" s="3"/>
      <c r="AI109" s="5" t="str">
        <f t="shared" ca="1" si="3"/>
        <v/>
      </c>
    </row>
    <row r="110" spans="1:35">
      <c r="A110" t="str">
        <f t="shared" si="2"/>
        <v/>
      </c>
      <c r="N110" s="3"/>
      <c r="O110" s="3"/>
      <c r="P110" s="3"/>
      <c r="Q110" s="3"/>
      <c r="S110" s="2"/>
      <c r="T110" s="2"/>
      <c r="V110" s="3"/>
      <c r="Z110" s="3"/>
      <c r="AB110" s="3"/>
      <c r="AE110" s="4"/>
      <c r="AH110" s="3"/>
      <c r="AI110" s="5" t="str">
        <f t="shared" ca="1" si="3"/>
        <v/>
      </c>
    </row>
    <row r="111" spans="1:35">
      <c r="A111" t="str">
        <f t="shared" si="2"/>
        <v/>
      </c>
      <c r="N111" s="3"/>
      <c r="O111" s="3"/>
      <c r="P111" s="3"/>
      <c r="Q111" s="3"/>
      <c r="S111" s="2"/>
      <c r="T111" s="2"/>
      <c r="V111" s="3"/>
      <c r="Z111" s="3"/>
      <c r="AB111" s="3"/>
      <c r="AE111" s="4"/>
      <c r="AH111" s="3"/>
      <c r="AI111" s="5" t="str">
        <f t="shared" ca="1" si="3"/>
        <v/>
      </c>
    </row>
    <row r="112" spans="1:35">
      <c r="A112" t="str">
        <f t="shared" si="2"/>
        <v/>
      </c>
      <c r="N112" s="3"/>
      <c r="O112" s="3"/>
      <c r="P112" s="3"/>
      <c r="Q112" s="3"/>
      <c r="S112" s="2"/>
      <c r="T112" s="2"/>
      <c r="V112" s="3"/>
      <c r="Z112" s="3"/>
      <c r="AB112" s="3"/>
      <c r="AE112" s="4"/>
      <c r="AH112" s="3"/>
      <c r="AI112" s="5" t="str">
        <f t="shared" ca="1" si="3"/>
        <v/>
      </c>
    </row>
    <row r="113" spans="1:35">
      <c r="A113" t="str">
        <f t="shared" si="2"/>
        <v/>
      </c>
      <c r="N113" s="3"/>
      <c r="O113" s="3"/>
      <c r="P113" s="3"/>
      <c r="Q113" s="3"/>
      <c r="S113" s="2"/>
      <c r="T113" s="2"/>
      <c r="V113" s="3"/>
      <c r="Z113" s="3"/>
      <c r="AB113" s="3"/>
      <c r="AE113" s="4"/>
      <c r="AH113" s="3"/>
      <c r="AI113" s="5" t="str">
        <f t="shared" ca="1" si="3"/>
        <v/>
      </c>
    </row>
    <row r="114" spans="1:35">
      <c r="A114" t="str">
        <f t="shared" si="2"/>
        <v/>
      </c>
      <c r="N114" s="3"/>
      <c r="O114" s="3"/>
      <c r="P114" s="3"/>
      <c r="Q114" s="3"/>
      <c r="S114" s="2"/>
      <c r="T114" s="2"/>
      <c r="V114" s="3"/>
      <c r="Z114" s="3"/>
      <c r="AB114" s="3"/>
      <c r="AE114" s="4"/>
      <c r="AH114" s="3"/>
      <c r="AI114" s="5" t="str">
        <f t="shared" ca="1" si="3"/>
        <v/>
      </c>
    </row>
    <row r="115" spans="1:35">
      <c r="A115" t="str">
        <f t="shared" si="2"/>
        <v/>
      </c>
      <c r="N115" s="3"/>
      <c r="O115" s="3"/>
      <c r="P115" s="3"/>
      <c r="Q115" s="3"/>
      <c r="S115" s="2"/>
      <c r="T115" s="2"/>
      <c r="V115" s="3"/>
      <c r="Z115" s="3"/>
      <c r="AB115" s="3"/>
      <c r="AE115" s="4"/>
      <c r="AH115" s="3"/>
      <c r="AI115" s="5" t="str">
        <f t="shared" ca="1" si="3"/>
        <v/>
      </c>
    </row>
    <row r="116" spans="1:35">
      <c r="A116" t="str">
        <f t="shared" si="2"/>
        <v/>
      </c>
      <c r="N116" s="3"/>
      <c r="O116" s="3"/>
      <c r="P116" s="3"/>
      <c r="Q116" s="3"/>
      <c r="S116" s="2"/>
      <c r="T116" s="2"/>
      <c r="V116" s="3"/>
      <c r="Z116" s="3"/>
      <c r="AB116" s="3"/>
      <c r="AE116" s="4"/>
      <c r="AH116" s="3"/>
      <c r="AI116" s="5" t="str">
        <f t="shared" ca="1" si="3"/>
        <v/>
      </c>
    </row>
    <row r="117" spans="1:35">
      <c r="A117" t="str">
        <f t="shared" si="2"/>
        <v/>
      </c>
      <c r="N117" s="3"/>
      <c r="O117" s="3"/>
      <c r="P117" s="3"/>
      <c r="Q117" s="3"/>
      <c r="S117" s="2"/>
      <c r="T117" s="2"/>
      <c r="V117" s="3"/>
      <c r="Z117" s="3"/>
      <c r="AB117" s="3"/>
      <c r="AE117" s="4"/>
      <c r="AH117" s="3"/>
      <c r="AI117" s="5" t="str">
        <f t="shared" ca="1" si="3"/>
        <v/>
      </c>
    </row>
    <row r="118" spans="1:35">
      <c r="A118" t="str">
        <f t="shared" si="2"/>
        <v/>
      </c>
      <c r="N118" s="3"/>
      <c r="O118" s="3"/>
      <c r="P118" s="3"/>
      <c r="Q118" s="3"/>
      <c r="S118" s="2"/>
      <c r="T118" s="2"/>
      <c r="V118" s="3"/>
      <c r="Z118" s="3"/>
      <c r="AB118" s="3"/>
      <c r="AE118" s="4"/>
      <c r="AH118" s="3"/>
      <c r="AI118" s="5" t="str">
        <f t="shared" ca="1" si="3"/>
        <v/>
      </c>
    </row>
    <row r="119" spans="1:35">
      <c r="A119" t="str">
        <f t="shared" si="2"/>
        <v/>
      </c>
      <c r="N119" s="3"/>
      <c r="O119" s="3"/>
      <c r="P119" s="3"/>
      <c r="Q119" s="3"/>
      <c r="S119" s="2"/>
      <c r="T119" s="2"/>
      <c r="V119" s="3"/>
      <c r="Z119" s="3"/>
      <c r="AB119" s="3"/>
      <c r="AE119" s="4"/>
      <c r="AH119" s="3"/>
      <c r="AI119" s="5" t="str">
        <f t="shared" ca="1" si="3"/>
        <v/>
      </c>
    </row>
    <row r="120" spans="1:35">
      <c r="A120" t="str">
        <f t="shared" si="2"/>
        <v/>
      </c>
      <c r="N120" s="3"/>
      <c r="O120" s="3"/>
      <c r="P120" s="3"/>
      <c r="Q120" s="3"/>
      <c r="S120" s="2"/>
      <c r="T120" s="2"/>
      <c r="V120" s="3"/>
      <c r="Z120" s="3"/>
      <c r="AB120" s="3"/>
      <c r="AE120" s="4"/>
      <c r="AH120" s="3"/>
      <c r="AI120" s="5" t="str">
        <f t="shared" ca="1" si="3"/>
        <v/>
      </c>
    </row>
    <row r="121" spans="1:35">
      <c r="A121" t="str">
        <f t="shared" si="2"/>
        <v/>
      </c>
      <c r="N121" s="3"/>
      <c r="O121" s="3"/>
      <c r="P121" s="3"/>
      <c r="Q121" s="3"/>
      <c r="S121" s="2"/>
      <c r="T121" s="2"/>
      <c r="V121" s="3"/>
      <c r="Z121" s="3"/>
      <c r="AB121" s="3"/>
      <c r="AE121" s="4"/>
      <c r="AH121" s="3"/>
      <c r="AI121" s="5" t="str">
        <f t="shared" ca="1" si="3"/>
        <v/>
      </c>
    </row>
    <row r="122" spans="1:35">
      <c r="A122" t="str">
        <f t="shared" si="2"/>
        <v/>
      </c>
      <c r="N122" s="3"/>
      <c r="O122" s="3"/>
      <c r="P122" s="3"/>
      <c r="Q122" s="3"/>
      <c r="S122" s="2"/>
      <c r="T122" s="2"/>
      <c r="V122" s="3"/>
      <c r="Z122" s="3"/>
      <c r="AB122" s="3"/>
      <c r="AE122" s="4"/>
      <c r="AH122" s="3"/>
      <c r="AI122" s="5" t="str">
        <f t="shared" ca="1" si="3"/>
        <v/>
      </c>
    </row>
    <row r="123" spans="1:35">
      <c r="A123" t="str">
        <f t="shared" si="2"/>
        <v/>
      </c>
      <c r="N123" s="3"/>
      <c r="O123" s="3"/>
      <c r="P123" s="3"/>
      <c r="Q123" s="3"/>
      <c r="S123" s="2"/>
      <c r="T123" s="2"/>
      <c r="V123" s="3"/>
      <c r="Z123" s="3"/>
      <c r="AB123" s="3"/>
      <c r="AE123" s="4"/>
      <c r="AH123" s="3"/>
      <c r="AI123" s="5" t="str">
        <f t="shared" ca="1" si="3"/>
        <v/>
      </c>
    </row>
    <row r="124" spans="1:35">
      <c r="A124" t="str">
        <f t="shared" si="2"/>
        <v/>
      </c>
      <c r="N124" s="3"/>
      <c r="O124" s="3"/>
      <c r="P124" s="3"/>
      <c r="Q124" s="3"/>
      <c r="S124" s="2"/>
      <c r="T124" s="2"/>
      <c r="V124" s="3"/>
      <c r="Z124" s="3"/>
      <c r="AB124" s="3"/>
      <c r="AE124" s="4"/>
      <c r="AH124" s="3"/>
      <c r="AI124" s="5" t="str">
        <f t="shared" ca="1" si="3"/>
        <v/>
      </c>
    </row>
    <row r="125" spans="1:35">
      <c r="A125" t="str">
        <f t="shared" si="2"/>
        <v/>
      </c>
      <c r="N125" s="3"/>
      <c r="O125" s="3"/>
      <c r="P125" s="3"/>
      <c r="Q125" s="3"/>
      <c r="S125" s="2"/>
      <c r="T125" s="2"/>
      <c r="V125" s="3"/>
      <c r="Z125" s="3"/>
      <c r="AB125" s="3"/>
      <c r="AE125" s="4"/>
      <c r="AH125" s="3"/>
      <c r="AI125" s="5" t="str">
        <f t="shared" ca="1" si="3"/>
        <v/>
      </c>
    </row>
    <row r="126" spans="1:35">
      <c r="A126" t="str">
        <f t="shared" si="2"/>
        <v/>
      </c>
      <c r="N126" s="3"/>
      <c r="O126" s="3"/>
      <c r="P126" s="3"/>
      <c r="Q126" s="3"/>
      <c r="S126" s="2"/>
      <c r="T126" s="2"/>
      <c r="V126" s="3"/>
      <c r="Z126" s="3"/>
      <c r="AB126" s="3"/>
      <c r="AE126" s="4"/>
      <c r="AH126" s="3"/>
      <c r="AI126" s="5" t="str">
        <f t="shared" ca="1" si="3"/>
        <v/>
      </c>
    </row>
    <row r="127" spans="1:35">
      <c r="A127" t="str">
        <f t="shared" si="2"/>
        <v/>
      </c>
      <c r="N127" s="3"/>
      <c r="O127" s="3"/>
      <c r="P127" s="3"/>
      <c r="Q127" s="3"/>
      <c r="S127" s="2"/>
      <c r="T127" s="2"/>
      <c r="V127" s="3"/>
      <c r="Z127" s="3"/>
      <c r="AB127" s="3"/>
      <c r="AE127" s="4"/>
      <c r="AH127" s="3"/>
      <c r="AI127" s="5" t="str">
        <f t="shared" ca="1" si="3"/>
        <v/>
      </c>
    </row>
    <row r="128" spans="1:35">
      <c r="A128" t="str">
        <f t="shared" si="2"/>
        <v/>
      </c>
      <c r="N128" s="3"/>
      <c r="O128" s="3"/>
      <c r="P128" s="3"/>
      <c r="Q128" s="3"/>
      <c r="S128" s="2"/>
      <c r="T128" s="2"/>
      <c r="V128" s="3"/>
      <c r="Z128" s="3"/>
      <c r="AB128" s="3"/>
      <c r="AE128" s="4"/>
      <c r="AH128" s="3"/>
      <c r="AI128" s="5" t="str">
        <f t="shared" ca="1" si="3"/>
        <v/>
      </c>
    </row>
    <row r="129" spans="1:35">
      <c r="A129" t="str">
        <f t="shared" si="2"/>
        <v/>
      </c>
      <c r="N129" s="3"/>
      <c r="O129" s="3"/>
      <c r="P129" s="3"/>
      <c r="Q129" s="3"/>
      <c r="S129" s="2"/>
      <c r="T129" s="2"/>
      <c r="V129" s="3"/>
      <c r="Z129" s="3"/>
      <c r="AB129" s="3"/>
      <c r="AE129" s="4"/>
      <c r="AH129" s="3"/>
      <c r="AI129" s="5" t="str">
        <f t="shared" ca="1" si="3"/>
        <v/>
      </c>
    </row>
    <row r="130" spans="1:35">
      <c r="A130" t="str">
        <f t="shared" si="2"/>
        <v/>
      </c>
      <c r="N130" s="3"/>
      <c r="O130" s="3"/>
      <c r="P130" s="3"/>
      <c r="Q130" s="3"/>
      <c r="S130" s="2"/>
      <c r="T130" s="2"/>
      <c r="V130" s="3"/>
      <c r="Z130" s="3"/>
      <c r="AB130" s="3"/>
      <c r="AE130" s="4"/>
      <c r="AH130" s="3"/>
      <c r="AI130" s="5" t="str">
        <f t="shared" ca="1" si="3"/>
        <v/>
      </c>
    </row>
    <row r="131" spans="1:35">
      <c r="A131" t="str">
        <f t="shared" si="2"/>
        <v/>
      </c>
      <c r="N131" s="3"/>
      <c r="O131" s="3"/>
      <c r="P131" s="3"/>
      <c r="Q131" s="3"/>
      <c r="S131" s="2"/>
      <c r="T131" s="2"/>
      <c r="V131" s="3"/>
      <c r="Z131" s="3"/>
      <c r="AB131" s="3"/>
      <c r="AE131" s="4"/>
      <c r="AH131" s="3"/>
      <c r="AI131" s="5" t="str">
        <f t="shared" ca="1" si="3"/>
        <v/>
      </c>
    </row>
    <row r="132" spans="1:35">
      <c r="A132" t="str">
        <f t="shared" si="2"/>
        <v/>
      </c>
      <c r="N132" s="3"/>
      <c r="O132" s="3"/>
      <c r="P132" s="3"/>
      <c r="Q132" s="3"/>
      <c r="S132" s="2"/>
      <c r="T132" s="2"/>
      <c r="V132" s="3"/>
      <c r="Z132" s="3"/>
      <c r="AB132" s="3"/>
      <c r="AE132" s="4"/>
      <c r="AH132" s="3"/>
      <c r="AI132" s="5" t="str">
        <f t="shared" ca="1" si="3"/>
        <v/>
      </c>
    </row>
    <row r="133" spans="1:35">
      <c r="A133" t="str">
        <f t="shared" ref="A133:A196" si="4">IF(B133="","",ROW()-4)</f>
        <v/>
      </c>
      <c r="N133" s="3"/>
      <c r="O133" s="3"/>
      <c r="P133" s="3"/>
      <c r="Q133" s="3"/>
      <c r="S133" s="2"/>
      <c r="T133" s="2"/>
      <c r="V133" s="3"/>
      <c r="Z133" s="3"/>
      <c r="AB133" s="3"/>
      <c r="AE133" s="4"/>
      <c r="AH133" s="3"/>
      <c r="AI133" s="5" t="str">
        <f t="shared" ref="AI133:AI196" ca="1" si="5">IF(V133="","",V133-TODAY())</f>
        <v/>
      </c>
    </row>
    <row r="134" spans="1:35">
      <c r="A134" t="str">
        <f t="shared" si="4"/>
        <v/>
      </c>
      <c r="N134" s="3"/>
      <c r="O134" s="3"/>
      <c r="P134" s="3"/>
      <c r="Q134" s="3"/>
      <c r="S134" s="2"/>
      <c r="T134" s="2"/>
      <c r="V134" s="3"/>
      <c r="Z134" s="3"/>
      <c r="AB134" s="3"/>
      <c r="AE134" s="4"/>
      <c r="AH134" s="3"/>
      <c r="AI134" s="5" t="str">
        <f t="shared" ca="1" si="5"/>
        <v/>
      </c>
    </row>
    <row r="135" spans="1:35">
      <c r="A135" t="str">
        <f t="shared" si="4"/>
        <v/>
      </c>
      <c r="N135" s="3"/>
      <c r="O135" s="3"/>
      <c r="P135" s="3"/>
      <c r="Q135" s="3"/>
      <c r="S135" s="2"/>
      <c r="T135" s="2"/>
      <c r="V135" s="3"/>
      <c r="Z135" s="3"/>
      <c r="AB135" s="3"/>
      <c r="AE135" s="4"/>
      <c r="AH135" s="3"/>
      <c r="AI135" s="5" t="str">
        <f t="shared" ca="1" si="5"/>
        <v/>
      </c>
    </row>
    <row r="136" spans="1:35">
      <c r="A136" t="str">
        <f t="shared" si="4"/>
        <v/>
      </c>
      <c r="N136" s="3"/>
      <c r="O136" s="3"/>
      <c r="P136" s="3"/>
      <c r="Q136" s="3"/>
      <c r="S136" s="2"/>
      <c r="T136" s="2"/>
      <c r="V136" s="3"/>
      <c r="Z136" s="3"/>
      <c r="AB136" s="3"/>
      <c r="AE136" s="4"/>
      <c r="AH136" s="3"/>
      <c r="AI136" s="5" t="str">
        <f t="shared" ca="1" si="5"/>
        <v/>
      </c>
    </row>
    <row r="137" spans="1:35">
      <c r="A137" t="str">
        <f t="shared" si="4"/>
        <v/>
      </c>
      <c r="N137" s="3"/>
      <c r="O137" s="3"/>
      <c r="P137" s="3"/>
      <c r="Q137" s="3"/>
      <c r="S137" s="2"/>
      <c r="T137" s="2"/>
      <c r="V137" s="3"/>
      <c r="Z137" s="3"/>
      <c r="AB137" s="3"/>
      <c r="AE137" s="4"/>
      <c r="AH137" s="3"/>
      <c r="AI137" s="5" t="str">
        <f t="shared" ca="1" si="5"/>
        <v/>
      </c>
    </row>
    <row r="138" spans="1:35">
      <c r="A138" t="str">
        <f t="shared" si="4"/>
        <v/>
      </c>
      <c r="N138" s="3"/>
      <c r="O138" s="3"/>
      <c r="P138" s="3"/>
      <c r="Q138" s="3"/>
      <c r="S138" s="2"/>
      <c r="T138" s="2"/>
      <c r="V138" s="3"/>
      <c r="Z138" s="3"/>
      <c r="AB138" s="3"/>
      <c r="AE138" s="4"/>
      <c r="AH138" s="3"/>
      <c r="AI138" s="5" t="str">
        <f t="shared" ca="1" si="5"/>
        <v/>
      </c>
    </row>
    <row r="139" spans="1:35">
      <c r="A139" t="str">
        <f t="shared" si="4"/>
        <v/>
      </c>
      <c r="N139" s="3"/>
      <c r="O139" s="3"/>
      <c r="P139" s="3"/>
      <c r="Q139" s="3"/>
      <c r="S139" s="2"/>
      <c r="T139" s="2"/>
      <c r="V139" s="3"/>
      <c r="Z139" s="3"/>
      <c r="AB139" s="3"/>
      <c r="AE139" s="4"/>
      <c r="AH139" s="3"/>
      <c r="AI139" s="5" t="str">
        <f t="shared" ca="1" si="5"/>
        <v/>
      </c>
    </row>
    <row r="140" spans="1:35">
      <c r="A140" t="str">
        <f t="shared" si="4"/>
        <v/>
      </c>
      <c r="N140" s="3"/>
      <c r="O140" s="3"/>
      <c r="P140" s="3"/>
      <c r="Q140" s="3"/>
      <c r="S140" s="2"/>
      <c r="T140" s="2"/>
      <c r="V140" s="3"/>
      <c r="Z140" s="3"/>
      <c r="AB140" s="3"/>
      <c r="AE140" s="4"/>
      <c r="AH140" s="3"/>
      <c r="AI140" s="5" t="str">
        <f t="shared" ca="1" si="5"/>
        <v/>
      </c>
    </row>
    <row r="141" spans="1:35">
      <c r="A141" t="str">
        <f t="shared" si="4"/>
        <v/>
      </c>
      <c r="N141" s="3"/>
      <c r="O141" s="3"/>
      <c r="P141" s="3"/>
      <c r="Q141" s="3"/>
      <c r="S141" s="2"/>
      <c r="T141" s="2"/>
      <c r="V141" s="3"/>
      <c r="Z141" s="3"/>
      <c r="AB141" s="3"/>
      <c r="AE141" s="4"/>
      <c r="AH141" s="3"/>
      <c r="AI141" s="5" t="str">
        <f t="shared" ca="1" si="5"/>
        <v/>
      </c>
    </row>
    <row r="142" spans="1:35">
      <c r="A142" t="str">
        <f t="shared" si="4"/>
        <v/>
      </c>
      <c r="N142" s="3"/>
      <c r="O142" s="3"/>
      <c r="P142" s="3"/>
      <c r="Q142" s="3"/>
      <c r="S142" s="2"/>
      <c r="T142" s="2"/>
      <c r="V142" s="3"/>
      <c r="Z142" s="3"/>
      <c r="AB142" s="3"/>
      <c r="AE142" s="4"/>
      <c r="AH142" s="3"/>
      <c r="AI142" s="5" t="str">
        <f t="shared" ca="1" si="5"/>
        <v/>
      </c>
    </row>
    <row r="143" spans="1:35">
      <c r="A143" t="str">
        <f t="shared" si="4"/>
        <v/>
      </c>
      <c r="N143" s="3"/>
      <c r="O143" s="3"/>
      <c r="P143" s="3"/>
      <c r="Q143" s="3"/>
      <c r="S143" s="2"/>
      <c r="T143" s="2"/>
      <c r="V143" s="3"/>
      <c r="Z143" s="3"/>
      <c r="AB143" s="3"/>
      <c r="AE143" s="4"/>
      <c r="AH143" s="3"/>
      <c r="AI143" s="5" t="str">
        <f t="shared" ca="1" si="5"/>
        <v/>
      </c>
    </row>
    <row r="144" spans="1:35">
      <c r="A144" t="str">
        <f t="shared" si="4"/>
        <v/>
      </c>
      <c r="N144" s="3"/>
      <c r="O144" s="3"/>
      <c r="P144" s="3"/>
      <c r="Q144" s="3"/>
      <c r="S144" s="2"/>
      <c r="T144" s="2"/>
      <c r="V144" s="3"/>
      <c r="Z144" s="3"/>
      <c r="AB144" s="3"/>
      <c r="AE144" s="4"/>
      <c r="AH144" s="3"/>
      <c r="AI144" s="5" t="str">
        <f t="shared" ca="1" si="5"/>
        <v/>
      </c>
    </row>
    <row r="145" spans="1:35">
      <c r="A145" t="str">
        <f t="shared" si="4"/>
        <v/>
      </c>
      <c r="N145" s="3"/>
      <c r="O145" s="3"/>
      <c r="P145" s="3"/>
      <c r="Q145" s="3"/>
      <c r="S145" s="2"/>
      <c r="T145" s="2"/>
      <c r="V145" s="3"/>
      <c r="Z145" s="3"/>
      <c r="AB145" s="3"/>
      <c r="AE145" s="4"/>
      <c r="AH145" s="3"/>
      <c r="AI145" s="5" t="str">
        <f t="shared" ca="1" si="5"/>
        <v/>
      </c>
    </row>
    <row r="146" spans="1:35">
      <c r="A146" t="str">
        <f t="shared" si="4"/>
        <v/>
      </c>
      <c r="N146" s="3"/>
      <c r="O146" s="3"/>
      <c r="P146" s="3"/>
      <c r="Q146" s="3"/>
      <c r="S146" s="2"/>
      <c r="T146" s="2"/>
      <c r="V146" s="3"/>
      <c r="Z146" s="3"/>
      <c r="AB146" s="3"/>
      <c r="AE146" s="4"/>
      <c r="AH146" s="3"/>
      <c r="AI146" s="5" t="str">
        <f t="shared" ca="1" si="5"/>
        <v/>
      </c>
    </row>
    <row r="147" spans="1:35">
      <c r="A147" t="str">
        <f t="shared" si="4"/>
        <v/>
      </c>
      <c r="N147" s="3"/>
      <c r="O147" s="3"/>
      <c r="P147" s="3"/>
      <c r="Q147" s="3"/>
      <c r="S147" s="2"/>
      <c r="T147" s="2"/>
      <c r="V147" s="3"/>
      <c r="Z147" s="3"/>
      <c r="AB147" s="3"/>
      <c r="AE147" s="4"/>
      <c r="AH147" s="3"/>
      <c r="AI147" s="5" t="str">
        <f t="shared" ca="1" si="5"/>
        <v/>
      </c>
    </row>
    <row r="148" spans="1:35">
      <c r="A148" t="str">
        <f t="shared" si="4"/>
        <v/>
      </c>
      <c r="N148" s="3"/>
      <c r="O148" s="3"/>
      <c r="P148" s="3"/>
      <c r="Q148" s="3"/>
      <c r="S148" s="2"/>
      <c r="T148" s="2"/>
      <c r="V148" s="3"/>
      <c r="Z148" s="3"/>
      <c r="AB148" s="3"/>
      <c r="AE148" s="4"/>
      <c r="AH148" s="3"/>
      <c r="AI148" s="5" t="str">
        <f t="shared" ca="1" si="5"/>
        <v/>
      </c>
    </row>
    <row r="149" spans="1:35">
      <c r="A149" t="str">
        <f t="shared" si="4"/>
        <v/>
      </c>
      <c r="N149" s="3"/>
      <c r="O149" s="3"/>
      <c r="P149" s="3"/>
      <c r="Q149" s="3"/>
      <c r="S149" s="2"/>
      <c r="T149" s="2"/>
      <c r="V149" s="3"/>
      <c r="Z149" s="3"/>
      <c r="AB149" s="3"/>
      <c r="AE149" s="4"/>
      <c r="AH149" s="3"/>
      <c r="AI149" s="5" t="str">
        <f t="shared" ca="1" si="5"/>
        <v/>
      </c>
    </row>
    <row r="150" spans="1:35">
      <c r="A150" t="str">
        <f t="shared" si="4"/>
        <v/>
      </c>
      <c r="N150" s="3"/>
      <c r="O150" s="3"/>
      <c r="P150" s="3"/>
      <c r="Q150" s="3"/>
      <c r="S150" s="2"/>
      <c r="T150" s="2"/>
      <c r="V150" s="3"/>
      <c r="Z150" s="3"/>
      <c r="AB150" s="3"/>
      <c r="AE150" s="4"/>
      <c r="AH150" s="3"/>
      <c r="AI150" s="5" t="str">
        <f t="shared" ca="1" si="5"/>
        <v/>
      </c>
    </row>
    <row r="151" spans="1:35">
      <c r="A151" t="str">
        <f t="shared" si="4"/>
        <v/>
      </c>
      <c r="N151" s="3"/>
      <c r="O151" s="3"/>
      <c r="P151" s="3"/>
      <c r="Q151" s="3"/>
      <c r="S151" s="2"/>
      <c r="T151" s="2"/>
      <c r="V151" s="3"/>
      <c r="Z151" s="3"/>
      <c r="AB151" s="3"/>
      <c r="AE151" s="4"/>
      <c r="AH151" s="3"/>
      <c r="AI151" s="5" t="str">
        <f t="shared" ca="1" si="5"/>
        <v/>
      </c>
    </row>
    <row r="152" spans="1:35">
      <c r="A152" t="str">
        <f t="shared" si="4"/>
        <v/>
      </c>
      <c r="N152" s="3"/>
      <c r="O152" s="3"/>
      <c r="P152" s="3"/>
      <c r="Q152" s="3"/>
      <c r="S152" s="2"/>
      <c r="T152" s="2"/>
      <c r="V152" s="3"/>
      <c r="Z152" s="3"/>
      <c r="AB152" s="3"/>
      <c r="AE152" s="4"/>
      <c r="AH152" s="3"/>
      <c r="AI152" s="5" t="str">
        <f t="shared" ca="1" si="5"/>
        <v/>
      </c>
    </row>
    <row r="153" spans="1:35">
      <c r="A153" t="str">
        <f t="shared" si="4"/>
        <v/>
      </c>
      <c r="N153" s="3"/>
      <c r="O153" s="3"/>
      <c r="P153" s="3"/>
      <c r="Q153" s="3"/>
      <c r="S153" s="2"/>
      <c r="T153" s="2"/>
      <c r="V153" s="3"/>
      <c r="Z153" s="3"/>
      <c r="AB153" s="3"/>
      <c r="AE153" s="4"/>
      <c r="AH153" s="3"/>
      <c r="AI153" s="5" t="str">
        <f t="shared" ca="1" si="5"/>
        <v/>
      </c>
    </row>
    <row r="154" spans="1:35">
      <c r="A154" t="str">
        <f t="shared" si="4"/>
        <v/>
      </c>
      <c r="N154" s="3"/>
      <c r="O154" s="3"/>
      <c r="P154" s="3"/>
      <c r="Q154" s="3"/>
      <c r="S154" s="2"/>
      <c r="T154" s="2"/>
      <c r="V154" s="3"/>
      <c r="Z154" s="3"/>
      <c r="AB154" s="3"/>
      <c r="AE154" s="4"/>
      <c r="AH154" s="3"/>
      <c r="AI154" s="5" t="str">
        <f t="shared" ca="1" si="5"/>
        <v/>
      </c>
    </row>
    <row r="155" spans="1:35">
      <c r="A155" t="str">
        <f t="shared" si="4"/>
        <v/>
      </c>
      <c r="N155" s="3"/>
      <c r="O155" s="3"/>
      <c r="P155" s="3"/>
      <c r="Q155" s="3"/>
      <c r="S155" s="2"/>
      <c r="T155" s="2"/>
      <c r="V155" s="3"/>
      <c r="Z155" s="3"/>
      <c r="AB155" s="3"/>
      <c r="AE155" s="4"/>
      <c r="AH155" s="3"/>
      <c r="AI155" s="5" t="str">
        <f t="shared" ca="1" si="5"/>
        <v/>
      </c>
    </row>
    <row r="156" spans="1:35">
      <c r="A156" t="str">
        <f t="shared" si="4"/>
        <v/>
      </c>
      <c r="N156" s="3"/>
      <c r="O156" s="3"/>
      <c r="P156" s="3"/>
      <c r="Q156" s="3"/>
      <c r="S156" s="2"/>
      <c r="T156" s="2"/>
      <c r="V156" s="3"/>
      <c r="Z156" s="3"/>
      <c r="AB156" s="3"/>
      <c r="AE156" s="4"/>
      <c r="AH156" s="3"/>
      <c r="AI156" s="5" t="str">
        <f t="shared" ca="1" si="5"/>
        <v/>
      </c>
    </row>
    <row r="157" spans="1:35">
      <c r="A157" t="str">
        <f t="shared" si="4"/>
        <v/>
      </c>
      <c r="N157" s="3"/>
      <c r="O157" s="3"/>
      <c r="P157" s="3"/>
      <c r="Q157" s="3"/>
      <c r="S157" s="2"/>
      <c r="T157" s="2"/>
      <c r="V157" s="3"/>
      <c r="Z157" s="3"/>
      <c r="AB157" s="3"/>
      <c r="AE157" s="4"/>
      <c r="AH157" s="3"/>
      <c r="AI157" s="5" t="str">
        <f t="shared" ca="1" si="5"/>
        <v/>
      </c>
    </row>
    <row r="158" spans="1:35">
      <c r="A158" t="str">
        <f t="shared" si="4"/>
        <v/>
      </c>
      <c r="N158" s="3"/>
      <c r="O158" s="3"/>
      <c r="P158" s="3"/>
      <c r="Q158" s="3"/>
      <c r="S158" s="2"/>
      <c r="T158" s="2"/>
      <c r="V158" s="3"/>
      <c r="Z158" s="3"/>
      <c r="AB158" s="3"/>
      <c r="AE158" s="4"/>
      <c r="AH158" s="3"/>
      <c r="AI158" s="5" t="str">
        <f t="shared" ca="1" si="5"/>
        <v/>
      </c>
    </row>
    <row r="159" spans="1:35">
      <c r="A159" t="str">
        <f t="shared" si="4"/>
        <v/>
      </c>
      <c r="N159" s="3"/>
      <c r="O159" s="3"/>
      <c r="P159" s="3"/>
      <c r="Q159" s="3"/>
      <c r="S159" s="2"/>
      <c r="T159" s="2"/>
      <c r="V159" s="3"/>
      <c r="Z159" s="3"/>
      <c r="AB159" s="3"/>
      <c r="AE159" s="4"/>
      <c r="AH159" s="3"/>
      <c r="AI159" s="5" t="str">
        <f t="shared" ca="1" si="5"/>
        <v/>
      </c>
    </row>
    <row r="160" spans="1:35">
      <c r="A160" t="str">
        <f t="shared" si="4"/>
        <v/>
      </c>
      <c r="N160" s="3"/>
      <c r="O160" s="3"/>
      <c r="P160" s="3"/>
      <c r="Q160" s="3"/>
      <c r="S160" s="2"/>
      <c r="T160" s="2"/>
      <c r="V160" s="3"/>
      <c r="Z160" s="3"/>
      <c r="AB160" s="3"/>
      <c r="AE160" s="4"/>
      <c r="AH160" s="3"/>
      <c r="AI160" s="5" t="str">
        <f t="shared" ca="1" si="5"/>
        <v/>
      </c>
    </row>
    <row r="161" spans="1:35">
      <c r="A161" t="str">
        <f t="shared" si="4"/>
        <v/>
      </c>
      <c r="N161" s="3"/>
      <c r="O161" s="3"/>
      <c r="P161" s="3"/>
      <c r="Q161" s="3"/>
      <c r="S161" s="2"/>
      <c r="T161" s="2"/>
      <c r="V161" s="3"/>
      <c r="Z161" s="3"/>
      <c r="AB161" s="3"/>
      <c r="AE161" s="4"/>
      <c r="AH161" s="3"/>
      <c r="AI161" s="5" t="str">
        <f t="shared" ca="1" si="5"/>
        <v/>
      </c>
    </row>
    <row r="162" spans="1:35">
      <c r="A162" t="str">
        <f t="shared" si="4"/>
        <v/>
      </c>
      <c r="N162" s="3"/>
      <c r="O162" s="3"/>
      <c r="P162" s="3"/>
      <c r="Q162" s="3"/>
      <c r="S162" s="2"/>
      <c r="T162" s="2"/>
      <c r="V162" s="3"/>
      <c r="Z162" s="3"/>
      <c r="AB162" s="3"/>
      <c r="AE162" s="4"/>
      <c r="AH162" s="3"/>
      <c r="AI162" s="5" t="str">
        <f t="shared" ca="1" si="5"/>
        <v/>
      </c>
    </row>
    <row r="163" spans="1:35">
      <c r="A163" t="str">
        <f t="shared" si="4"/>
        <v/>
      </c>
      <c r="N163" s="3"/>
      <c r="O163" s="3"/>
      <c r="P163" s="3"/>
      <c r="Q163" s="3"/>
      <c r="S163" s="2"/>
      <c r="T163" s="2"/>
      <c r="V163" s="3"/>
      <c r="Z163" s="3"/>
      <c r="AB163" s="3"/>
      <c r="AE163" s="4"/>
      <c r="AH163" s="3"/>
      <c r="AI163" s="5" t="str">
        <f t="shared" ca="1" si="5"/>
        <v/>
      </c>
    </row>
    <row r="164" spans="1:35">
      <c r="A164" t="str">
        <f t="shared" si="4"/>
        <v/>
      </c>
      <c r="N164" s="3"/>
      <c r="O164" s="3"/>
      <c r="P164" s="3"/>
      <c r="Q164" s="3"/>
      <c r="S164" s="2"/>
      <c r="T164" s="2"/>
      <c r="V164" s="3"/>
      <c r="Z164" s="3"/>
      <c r="AB164" s="3"/>
      <c r="AE164" s="4"/>
      <c r="AH164" s="3"/>
      <c r="AI164" s="5" t="str">
        <f t="shared" ca="1" si="5"/>
        <v/>
      </c>
    </row>
    <row r="165" spans="1:35">
      <c r="A165" t="str">
        <f t="shared" si="4"/>
        <v/>
      </c>
      <c r="N165" s="3"/>
      <c r="O165" s="3"/>
      <c r="P165" s="3"/>
      <c r="Q165" s="3"/>
      <c r="S165" s="2"/>
      <c r="T165" s="2"/>
      <c r="V165" s="3"/>
      <c r="Z165" s="3"/>
      <c r="AB165" s="3"/>
      <c r="AE165" s="4"/>
      <c r="AH165" s="3"/>
      <c r="AI165" s="5" t="str">
        <f t="shared" ca="1" si="5"/>
        <v/>
      </c>
    </row>
    <row r="166" spans="1:35">
      <c r="A166" t="str">
        <f t="shared" si="4"/>
        <v/>
      </c>
      <c r="N166" s="3"/>
      <c r="O166" s="3"/>
      <c r="P166" s="3"/>
      <c r="Q166" s="3"/>
      <c r="S166" s="2"/>
      <c r="T166" s="2"/>
      <c r="V166" s="3"/>
      <c r="Z166" s="3"/>
      <c r="AB166" s="3"/>
      <c r="AE166" s="4"/>
      <c r="AH166" s="3"/>
      <c r="AI166" s="5" t="str">
        <f t="shared" ca="1" si="5"/>
        <v/>
      </c>
    </row>
    <row r="167" spans="1:35">
      <c r="A167" t="str">
        <f t="shared" si="4"/>
        <v/>
      </c>
      <c r="N167" s="3"/>
      <c r="O167" s="3"/>
      <c r="P167" s="3"/>
      <c r="Q167" s="3"/>
      <c r="S167" s="2"/>
      <c r="T167" s="2"/>
      <c r="V167" s="3"/>
      <c r="Z167" s="3"/>
      <c r="AB167" s="3"/>
      <c r="AE167" s="4"/>
      <c r="AH167" s="3"/>
      <c r="AI167" s="5" t="str">
        <f t="shared" ca="1" si="5"/>
        <v/>
      </c>
    </row>
    <row r="168" spans="1:35">
      <c r="A168" t="str">
        <f t="shared" si="4"/>
        <v/>
      </c>
      <c r="N168" s="3"/>
      <c r="O168" s="3"/>
      <c r="P168" s="3"/>
      <c r="Q168" s="3"/>
      <c r="S168" s="2"/>
      <c r="T168" s="2"/>
      <c r="V168" s="3"/>
      <c r="Z168" s="3"/>
      <c r="AB168" s="3"/>
      <c r="AE168" s="4"/>
      <c r="AH168" s="3"/>
      <c r="AI168" s="5" t="str">
        <f t="shared" ca="1" si="5"/>
        <v/>
      </c>
    </row>
    <row r="169" spans="1:35">
      <c r="A169" t="str">
        <f t="shared" si="4"/>
        <v/>
      </c>
      <c r="N169" s="3"/>
      <c r="O169" s="3"/>
      <c r="P169" s="3"/>
      <c r="Q169" s="3"/>
      <c r="S169" s="2"/>
      <c r="T169" s="2"/>
      <c r="V169" s="3"/>
      <c r="Z169" s="3"/>
      <c r="AB169" s="3"/>
      <c r="AE169" s="4"/>
      <c r="AH169" s="3"/>
      <c r="AI169" s="5" t="str">
        <f t="shared" ca="1" si="5"/>
        <v/>
      </c>
    </row>
    <row r="170" spans="1:35">
      <c r="A170" t="str">
        <f t="shared" si="4"/>
        <v/>
      </c>
      <c r="N170" s="3"/>
      <c r="O170" s="3"/>
      <c r="P170" s="3"/>
      <c r="Q170" s="3"/>
      <c r="S170" s="2"/>
      <c r="T170" s="2"/>
      <c r="V170" s="3"/>
      <c r="Z170" s="3"/>
      <c r="AB170" s="3"/>
      <c r="AE170" s="4"/>
      <c r="AH170" s="3"/>
      <c r="AI170" s="5" t="str">
        <f t="shared" ca="1" si="5"/>
        <v/>
      </c>
    </row>
    <row r="171" spans="1:35">
      <c r="A171" t="str">
        <f t="shared" si="4"/>
        <v/>
      </c>
      <c r="N171" s="3"/>
      <c r="O171" s="3"/>
      <c r="P171" s="3"/>
      <c r="Q171" s="3"/>
      <c r="S171" s="2"/>
      <c r="T171" s="2"/>
      <c r="V171" s="3"/>
      <c r="Z171" s="3"/>
      <c r="AB171" s="3"/>
      <c r="AE171" s="4"/>
      <c r="AH171" s="3"/>
      <c r="AI171" s="5" t="str">
        <f t="shared" ca="1" si="5"/>
        <v/>
      </c>
    </row>
    <row r="172" spans="1:35">
      <c r="A172" t="str">
        <f t="shared" si="4"/>
        <v/>
      </c>
      <c r="N172" s="3"/>
      <c r="O172" s="3"/>
      <c r="P172" s="3"/>
      <c r="Q172" s="3"/>
      <c r="S172" s="2"/>
      <c r="T172" s="2"/>
      <c r="V172" s="3"/>
      <c r="Z172" s="3"/>
      <c r="AB172" s="3"/>
      <c r="AE172" s="4"/>
      <c r="AH172" s="3"/>
      <c r="AI172" s="5" t="str">
        <f t="shared" ca="1" si="5"/>
        <v/>
      </c>
    </row>
    <row r="173" spans="1:35">
      <c r="A173" t="str">
        <f t="shared" si="4"/>
        <v/>
      </c>
      <c r="N173" s="3"/>
      <c r="O173" s="3"/>
      <c r="P173" s="3"/>
      <c r="Q173" s="3"/>
      <c r="S173" s="2"/>
      <c r="T173" s="2"/>
      <c r="V173" s="3"/>
      <c r="Z173" s="3"/>
      <c r="AB173" s="3"/>
      <c r="AE173" s="4"/>
      <c r="AH173" s="3"/>
      <c r="AI173" s="5" t="str">
        <f t="shared" ca="1" si="5"/>
        <v/>
      </c>
    </row>
    <row r="174" spans="1:35">
      <c r="A174" t="str">
        <f t="shared" si="4"/>
        <v/>
      </c>
      <c r="N174" s="3"/>
      <c r="O174" s="3"/>
      <c r="P174" s="3"/>
      <c r="Q174" s="3"/>
      <c r="S174" s="2"/>
      <c r="T174" s="2"/>
      <c r="V174" s="3"/>
      <c r="Z174" s="3"/>
      <c r="AB174" s="3"/>
      <c r="AE174" s="4"/>
      <c r="AH174" s="3"/>
      <c r="AI174" s="5" t="str">
        <f t="shared" ca="1" si="5"/>
        <v/>
      </c>
    </row>
    <row r="175" spans="1:35">
      <c r="A175" t="str">
        <f t="shared" si="4"/>
        <v/>
      </c>
      <c r="N175" s="3"/>
      <c r="O175" s="3"/>
      <c r="P175" s="3"/>
      <c r="Q175" s="3"/>
      <c r="S175" s="2"/>
      <c r="T175" s="2"/>
      <c r="V175" s="3"/>
      <c r="Z175" s="3"/>
      <c r="AB175" s="3"/>
      <c r="AE175" s="4"/>
      <c r="AH175" s="3"/>
      <c r="AI175" s="5" t="str">
        <f t="shared" ca="1" si="5"/>
        <v/>
      </c>
    </row>
    <row r="176" spans="1:35">
      <c r="A176" t="str">
        <f t="shared" si="4"/>
        <v/>
      </c>
      <c r="N176" s="3"/>
      <c r="O176" s="3"/>
      <c r="P176" s="3"/>
      <c r="Q176" s="3"/>
      <c r="S176" s="2"/>
      <c r="T176" s="2"/>
      <c r="V176" s="3"/>
      <c r="Z176" s="3"/>
      <c r="AB176" s="3"/>
      <c r="AE176" s="4"/>
      <c r="AH176" s="3"/>
      <c r="AI176" s="5" t="str">
        <f t="shared" ca="1" si="5"/>
        <v/>
      </c>
    </row>
    <row r="177" spans="1:35">
      <c r="A177" t="str">
        <f t="shared" si="4"/>
        <v/>
      </c>
      <c r="N177" s="3"/>
      <c r="O177" s="3"/>
      <c r="P177" s="3"/>
      <c r="Q177" s="3"/>
      <c r="S177" s="2"/>
      <c r="T177" s="2"/>
      <c r="V177" s="3"/>
      <c r="Z177" s="3"/>
      <c r="AB177" s="3"/>
      <c r="AE177" s="4"/>
      <c r="AH177" s="3"/>
      <c r="AI177" s="5" t="str">
        <f t="shared" ca="1" si="5"/>
        <v/>
      </c>
    </row>
    <row r="178" spans="1:35">
      <c r="A178" t="str">
        <f t="shared" si="4"/>
        <v/>
      </c>
      <c r="N178" s="3"/>
      <c r="O178" s="3"/>
      <c r="P178" s="3"/>
      <c r="Q178" s="3"/>
      <c r="S178" s="2"/>
      <c r="T178" s="2"/>
      <c r="V178" s="3"/>
      <c r="Z178" s="3"/>
      <c r="AB178" s="3"/>
      <c r="AE178" s="4"/>
      <c r="AH178" s="3"/>
      <c r="AI178" s="5" t="str">
        <f t="shared" ca="1" si="5"/>
        <v/>
      </c>
    </row>
    <row r="179" spans="1:35">
      <c r="A179" t="str">
        <f t="shared" si="4"/>
        <v/>
      </c>
      <c r="N179" s="3"/>
      <c r="O179" s="3"/>
      <c r="P179" s="3"/>
      <c r="Q179" s="3"/>
      <c r="S179" s="2"/>
      <c r="T179" s="2"/>
      <c r="V179" s="3"/>
      <c r="Z179" s="3"/>
      <c r="AB179" s="3"/>
      <c r="AE179" s="4"/>
      <c r="AH179" s="3"/>
      <c r="AI179" s="5" t="str">
        <f t="shared" ca="1" si="5"/>
        <v/>
      </c>
    </row>
    <row r="180" spans="1:35">
      <c r="A180" t="str">
        <f t="shared" si="4"/>
        <v/>
      </c>
      <c r="N180" s="3"/>
      <c r="O180" s="3"/>
      <c r="P180" s="3"/>
      <c r="Q180" s="3"/>
      <c r="S180" s="2"/>
      <c r="T180" s="2"/>
      <c r="V180" s="3"/>
      <c r="Z180" s="3"/>
      <c r="AB180" s="3"/>
      <c r="AE180" s="4"/>
      <c r="AH180" s="3"/>
      <c r="AI180" s="5" t="str">
        <f t="shared" ca="1" si="5"/>
        <v/>
      </c>
    </row>
    <row r="181" spans="1:35">
      <c r="A181" t="str">
        <f t="shared" si="4"/>
        <v/>
      </c>
      <c r="N181" s="3"/>
      <c r="O181" s="3"/>
      <c r="P181" s="3"/>
      <c r="Q181" s="3"/>
      <c r="S181" s="2"/>
      <c r="T181" s="2"/>
      <c r="V181" s="3"/>
      <c r="Z181" s="3"/>
      <c r="AB181" s="3"/>
      <c r="AE181" s="4"/>
      <c r="AH181" s="3"/>
      <c r="AI181" s="5" t="str">
        <f t="shared" ca="1" si="5"/>
        <v/>
      </c>
    </row>
    <row r="182" spans="1:35">
      <c r="A182" t="str">
        <f t="shared" si="4"/>
        <v/>
      </c>
      <c r="N182" s="3"/>
      <c r="O182" s="3"/>
      <c r="P182" s="3"/>
      <c r="Q182" s="3"/>
      <c r="S182" s="2"/>
      <c r="T182" s="2"/>
      <c r="V182" s="3"/>
      <c r="Z182" s="3"/>
      <c r="AB182" s="3"/>
      <c r="AE182" s="4"/>
      <c r="AH182" s="3"/>
      <c r="AI182" s="5" t="str">
        <f t="shared" ca="1" si="5"/>
        <v/>
      </c>
    </row>
    <row r="183" spans="1:35">
      <c r="A183" t="str">
        <f t="shared" si="4"/>
        <v/>
      </c>
      <c r="N183" s="3"/>
      <c r="O183" s="3"/>
      <c r="P183" s="3"/>
      <c r="Q183" s="3"/>
      <c r="S183" s="2"/>
      <c r="T183" s="2"/>
      <c r="V183" s="3"/>
      <c r="Z183" s="3"/>
      <c r="AB183" s="3"/>
      <c r="AE183" s="4"/>
      <c r="AH183" s="3"/>
      <c r="AI183" s="5" t="str">
        <f t="shared" ca="1" si="5"/>
        <v/>
      </c>
    </row>
    <row r="184" spans="1:35">
      <c r="A184" t="str">
        <f t="shared" si="4"/>
        <v/>
      </c>
      <c r="N184" s="3"/>
      <c r="O184" s="3"/>
      <c r="P184" s="3"/>
      <c r="Q184" s="3"/>
      <c r="S184" s="2"/>
      <c r="T184" s="2"/>
      <c r="V184" s="3"/>
      <c r="Z184" s="3"/>
      <c r="AB184" s="3"/>
      <c r="AE184" s="4"/>
      <c r="AH184" s="3"/>
      <c r="AI184" s="5" t="str">
        <f t="shared" ca="1" si="5"/>
        <v/>
      </c>
    </row>
    <row r="185" spans="1:35">
      <c r="A185" t="str">
        <f t="shared" si="4"/>
        <v/>
      </c>
      <c r="N185" s="3"/>
      <c r="O185" s="3"/>
      <c r="P185" s="3"/>
      <c r="Q185" s="3"/>
      <c r="S185" s="2"/>
      <c r="T185" s="2"/>
      <c r="V185" s="3"/>
      <c r="Z185" s="3"/>
      <c r="AB185" s="3"/>
      <c r="AE185" s="4"/>
      <c r="AH185" s="3"/>
      <c r="AI185" s="5" t="str">
        <f t="shared" ca="1" si="5"/>
        <v/>
      </c>
    </row>
    <row r="186" spans="1:35">
      <c r="A186" t="str">
        <f t="shared" si="4"/>
        <v/>
      </c>
      <c r="N186" s="3"/>
      <c r="O186" s="3"/>
      <c r="P186" s="3"/>
      <c r="Q186" s="3"/>
      <c r="S186" s="2"/>
      <c r="T186" s="2"/>
      <c r="V186" s="3"/>
      <c r="Z186" s="3"/>
      <c r="AB186" s="3"/>
      <c r="AE186" s="4"/>
      <c r="AH186" s="3"/>
      <c r="AI186" s="5" t="str">
        <f t="shared" ca="1" si="5"/>
        <v/>
      </c>
    </row>
    <row r="187" spans="1:35">
      <c r="A187" t="str">
        <f t="shared" si="4"/>
        <v/>
      </c>
      <c r="N187" s="3"/>
      <c r="O187" s="3"/>
      <c r="P187" s="3"/>
      <c r="Q187" s="3"/>
      <c r="S187" s="2"/>
      <c r="T187" s="2"/>
      <c r="V187" s="3"/>
      <c r="Z187" s="3"/>
      <c r="AB187" s="3"/>
      <c r="AE187" s="4"/>
      <c r="AH187" s="3"/>
      <c r="AI187" s="5" t="str">
        <f t="shared" ca="1" si="5"/>
        <v/>
      </c>
    </row>
    <row r="188" spans="1:35">
      <c r="A188" t="str">
        <f t="shared" si="4"/>
        <v/>
      </c>
      <c r="N188" s="3"/>
      <c r="O188" s="3"/>
      <c r="P188" s="3"/>
      <c r="Q188" s="3"/>
      <c r="S188" s="2"/>
      <c r="T188" s="2"/>
      <c r="V188" s="3"/>
      <c r="Z188" s="3"/>
      <c r="AB188" s="3"/>
      <c r="AE188" s="4"/>
      <c r="AH188" s="3"/>
      <c r="AI188" s="5" t="str">
        <f t="shared" ca="1" si="5"/>
        <v/>
      </c>
    </row>
    <row r="189" spans="1:35">
      <c r="A189" t="str">
        <f t="shared" si="4"/>
        <v/>
      </c>
      <c r="N189" s="3"/>
      <c r="O189" s="3"/>
      <c r="P189" s="3"/>
      <c r="Q189" s="3"/>
      <c r="S189" s="2"/>
      <c r="T189" s="2"/>
      <c r="V189" s="3"/>
      <c r="Z189" s="3"/>
      <c r="AB189" s="3"/>
      <c r="AE189" s="4"/>
      <c r="AH189" s="3"/>
      <c r="AI189" s="5" t="str">
        <f t="shared" ca="1" si="5"/>
        <v/>
      </c>
    </row>
    <row r="190" spans="1:35">
      <c r="A190" t="str">
        <f t="shared" si="4"/>
        <v/>
      </c>
      <c r="N190" s="3"/>
      <c r="O190" s="3"/>
      <c r="P190" s="3"/>
      <c r="Q190" s="3"/>
      <c r="S190" s="2"/>
      <c r="T190" s="2"/>
      <c r="V190" s="3"/>
      <c r="Z190" s="3"/>
      <c r="AB190" s="3"/>
      <c r="AE190" s="4"/>
      <c r="AH190" s="3"/>
      <c r="AI190" s="5" t="str">
        <f t="shared" ca="1" si="5"/>
        <v/>
      </c>
    </row>
    <row r="191" spans="1:35">
      <c r="A191" t="str">
        <f t="shared" si="4"/>
        <v/>
      </c>
      <c r="N191" s="3"/>
      <c r="O191" s="3"/>
      <c r="P191" s="3"/>
      <c r="Q191" s="3"/>
      <c r="S191" s="2"/>
      <c r="T191" s="2"/>
      <c r="V191" s="3"/>
      <c r="Z191" s="3"/>
      <c r="AB191" s="3"/>
      <c r="AE191" s="4"/>
      <c r="AH191" s="3"/>
      <c r="AI191" s="5" t="str">
        <f t="shared" ca="1" si="5"/>
        <v/>
      </c>
    </row>
    <row r="192" spans="1:35">
      <c r="A192" t="str">
        <f t="shared" si="4"/>
        <v/>
      </c>
      <c r="N192" s="3"/>
      <c r="O192" s="3"/>
      <c r="P192" s="3"/>
      <c r="Q192" s="3"/>
      <c r="S192" s="2"/>
      <c r="T192" s="2"/>
      <c r="V192" s="3"/>
      <c r="Z192" s="3"/>
      <c r="AB192" s="3"/>
      <c r="AE192" s="4"/>
      <c r="AH192" s="3"/>
      <c r="AI192" s="5" t="str">
        <f t="shared" ca="1" si="5"/>
        <v/>
      </c>
    </row>
    <row r="193" spans="1:35">
      <c r="A193" t="str">
        <f t="shared" si="4"/>
        <v/>
      </c>
      <c r="N193" s="3"/>
      <c r="O193" s="3"/>
      <c r="P193" s="3"/>
      <c r="Q193" s="3"/>
      <c r="S193" s="2"/>
      <c r="T193" s="2"/>
      <c r="V193" s="3"/>
      <c r="Z193" s="3"/>
      <c r="AB193" s="3"/>
      <c r="AE193" s="4"/>
      <c r="AH193" s="3"/>
      <c r="AI193" s="5" t="str">
        <f t="shared" ca="1" si="5"/>
        <v/>
      </c>
    </row>
    <row r="194" spans="1:35">
      <c r="A194" t="str">
        <f t="shared" si="4"/>
        <v/>
      </c>
      <c r="N194" s="3"/>
      <c r="O194" s="3"/>
      <c r="P194" s="3"/>
      <c r="Q194" s="3"/>
      <c r="S194" s="2"/>
      <c r="T194" s="2"/>
      <c r="V194" s="3"/>
      <c r="Z194" s="3"/>
      <c r="AB194" s="3"/>
      <c r="AE194" s="4"/>
      <c r="AH194" s="3"/>
      <c r="AI194" s="5" t="str">
        <f t="shared" ca="1" si="5"/>
        <v/>
      </c>
    </row>
    <row r="195" spans="1:35">
      <c r="A195" t="str">
        <f t="shared" si="4"/>
        <v/>
      </c>
      <c r="N195" s="3"/>
      <c r="O195" s="3"/>
      <c r="P195" s="3"/>
      <c r="Q195" s="3"/>
      <c r="S195" s="2"/>
      <c r="T195" s="2"/>
      <c r="V195" s="3"/>
      <c r="Z195" s="3"/>
      <c r="AB195" s="3"/>
      <c r="AE195" s="4"/>
      <c r="AH195" s="3"/>
      <c r="AI195" s="5" t="str">
        <f t="shared" ca="1" si="5"/>
        <v/>
      </c>
    </row>
    <row r="196" spans="1:35">
      <c r="A196" t="str">
        <f t="shared" si="4"/>
        <v/>
      </c>
      <c r="N196" s="3"/>
      <c r="O196" s="3"/>
      <c r="P196" s="3"/>
      <c r="Q196" s="3"/>
      <c r="S196" s="2"/>
      <c r="T196" s="2"/>
      <c r="V196" s="3"/>
      <c r="Z196" s="3"/>
      <c r="AB196" s="3"/>
      <c r="AE196" s="4"/>
      <c r="AH196" s="3"/>
      <c r="AI196" s="5" t="str">
        <f t="shared" ca="1" si="5"/>
        <v/>
      </c>
    </row>
    <row r="197" spans="1:35">
      <c r="A197" t="str">
        <f t="shared" ref="A197:A260" si="6">IF(B197="","",ROW()-4)</f>
        <v/>
      </c>
      <c r="N197" s="3"/>
      <c r="O197" s="3"/>
      <c r="P197" s="3"/>
      <c r="Q197" s="3"/>
      <c r="S197" s="2"/>
      <c r="T197" s="2"/>
      <c r="V197" s="3"/>
      <c r="Z197" s="3"/>
      <c r="AB197" s="3"/>
      <c r="AE197" s="4"/>
      <c r="AH197" s="3"/>
      <c r="AI197" s="5" t="str">
        <f t="shared" ref="AI197:AI260" ca="1" si="7">IF(V197="","",V197-TODAY())</f>
        <v/>
      </c>
    </row>
    <row r="198" spans="1:35">
      <c r="A198" t="str">
        <f t="shared" si="6"/>
        <v/>
      </c>
      <c r="N198" s="3"/>
      <c r="O198" s="3"/>
      <c r="P198" s="3"/>
      <c r="Q198" s="3"/>
      <c r="S198" s="2"/>
      <c r="T198" s="2"/>
      <c r="V198" s="3"/>
      <c r="Z198" s="3"/>
      <c r="AB198" s="3"/>
      <c r="AE198" s="4"/>
      <c r="AH198" s="3"/>
      <c r="AI198" s="5" t="str">
        <f t="shared" ca="1" si="7"/>
        <v/>
      </c>
    </row>
    <row r="199" spans="1:35">
      <c r="A199" t="str">
        <f t="shared" si="6"/>
        <v/>
      </c>
      <c r="N199" s="3"/>
      <c r="O199" s="3"/>
      <c r="P199" s="3"/>
      <c r="Q199" s="3"/>
      <c r="S199" s="2"/>
      <c r="T199" s="2"/>
      <c r="V199" s="3"/>
      <c r="Z199" s="3"/>
      <c r="AB199" s="3"/>
      <c r="AE199" s="4"/>
      <c r="AH199" s="3"/>
      <c r="AI199" s="5" t="str">
        <f t="shared" ca="1" si="7"/>
        <v/>
      </c>
    </row>
    <row r="200" spans="1:35">
      <c r="A200" t="str">
        <f t="shared" si="6"/>
        <v/>
      </c>
      <c r="N200" s="3"/>
      <c r="O200" s="3"/>
      <c r="P200" s="3"/>
      <c r="Q200" s="3"/>
      <c r="S200" s="2"/>
      <c r="T200" s="2"/>
      <c r="V200" s="3"/>
      <c r="Z200" s="3"/>
      <c r="AB200" s="3"/>
      <c r="AE200" s="4"/>
      <c r="AH200" s="3"/>
      <c r="AI200" s="5" t="str">
        <f t="shared" ca="1" si="7"/>
        <v/>
      </c>
    </row>
    <row r="201" spans="1:35">
      <c r="A201" t="str">
        <f t="shared" si="6"/>
        <v/>
      </c>
      <c r="N201" s="3"/>
      <c r="O201" s="3"/>
      <c r="P201" s="3"/>
      <c r="Q201" s="3"/>
      <c r="S201" s="2"/>
      <c r="T201" s="2"/>
      <c r="V201" s="3"/>
      <c r="Z201" s="3"/>
      <c r="AB201" s="3"/>
      <c r="AE201" s="4"/>
      <c r="AH201" s="3"/>
      <c r="AI201" s="5" t="str">
        <f t="shared" ca="1" si="7"/>
        <v/>
      </c>
    </row>
    <row r="202" spans="1:35">
      <c r="A202" t="str">
        <f t="shared" si="6"/>
        <v/>
      </c>
      <c r="N202" s="3"/>
      <c r="O202" s="3"/>
      <c r="P202" s="3"/>
      <c r="Q202" s="3"/>
      <c r="S202" s="2"/>
      <c r="T202" s="2"/>
      <c r="V202" s="3"/>
      <c r="Z202" s="3"/>
      <c r="AB202" s="3"/>
      <c r="AE202" s="4"/>
      <c r="AH202" s="3"/>
      <c r="AI202" s="5" t="str">
        <f t="shared" ca="1" si="7"/>
        <v/>
      </c>
    </row>
    <row r="203" spans="1:35">
      <c r="A203" t="str">
        <f t="shared" si="6"/>
        <v/>
      </c>
      <c r="N203" s="3"/>
      <c r="O203" s="3"/>
      <c r="P203" s="3"/>
      <c r="Q203" s="3"/>
      <c r="S203" s="2"/>
      <c r="T203" s="2"/>
      <c r="V203" s="3"/>
      <c r="Z203" s="3"/>
      <c r="AB203" s="3"/>
      <c r="AE203" s="4"/>
      <c r="AH203" s="3"/>
      <c r="AI203" s="5" t="str">
        <f t="shared" ca="1" si="7"/>
        <v/>
      </c>
    </row>
    <row r="204" spans="1:35">
      <c r="A204" t="str">
        <f t="shared" si="6"/>
        <v/>
      </c>
      <c r="N204" s="3"/>
      <c r="O204" s="3"/>
      <c r="P204" s="3"/>
      <c r="Q204" s="3"/>
      <c r="S204" s="2"/>
      <c r="T204" s="2"/>
      <c r="V204" s="3"/>
      <c r="Z204" s="3"/>
      <c r="AB204" s="3"/>
      <c r="AE204" s="4"/>
      <c r="AH204" s="3"/>
      <c r="AI204" s="5" t="str">
        <f t="shared" ca="1" si="7"/>
        <v/>
      </c>
    </row>
    <row r="205" spans="1:35">
      <c r="A205" t="str">
        <f t="shared" si="6"/>
        <v/>
      </c>
      <c r="N205" s="3"/>
      <c r="O205" s="3"/>
      <c r="P205" s="3"/>
      <c r="Q205" s="3"/>
      <c r="S205" s="2"/>
      <c r="T205" s="2"/>
      <c r="V205" s="3"/>
      <c r="Z205" s="3"/>
      <c r="AB205" s="3"/>
      <c r="AE205" s="4"/>
      <c r="AH205" s="3"/>
      <c r="AI205" s="5" t="str">
        <f t="shared" ca="1" si="7"/>
        <v/>
      </c>
    </row>
    <row r="206" spans="1:35">
      <c r="A206" t="str">
        <f t="shared" si="6"/>
        <v/>
      </c>
      <c r="N206" s="3"/>
      <c r="O206" s="3"/>
      <c r="P206" s="3"/>
      <c r="Q206" s="3"/>
      <c r="S206" s="2"/>
      <c r="T206" s="2"/>
      <c r="V206" s="3"/>
      <c r="Z206" s="3"/>
      <c r="AB206" s="3"/>
      <c r="AE206" s="4"/>
      <c r="AH206" s="3"/>
      <c r="AI206" s="5" t="str">
        <f t="shared" ca="1" si="7"/>
        <v/>
      </c>
    </row>
    <row r="207" spans="1:35">
      <c r="A207" t="str">
        <f t="shared" si="6"/>
        <v/>
      </c>
      <c r="N207" s="3"/>
      <c r="O207" s="3"/>
      <c r="P207" s="3"/>
      <c r="Q207" s="3"/>
      <c r="S207" s="2"/>
      <c r="T207" s="2"/>
      <c r="V207" s="3"/>
      <c r="Z207" s="3"/>
      <c r="AB207" s="3"/>
      <c r="AE207" s="4"/>
      <c r="AH207" s="3"/>
      <c r="AI207" s="5" t="str">
        <f t="shared" ca="1" si="7"/>
        <v/>
      </c>
    </row>
    <row r="208" spans="1:35">
      <c r="A208" t="str">
        <f t="shared" si="6"/>
        <v/>
      </c>
      <c r="N208" s="3"/>
      <c r="O208" s="3"/>
      <c r="P208" s="3"/>
      <c r="Q208" s="3"/>
      <c r="S208" s="2"/>
      <c r="T208" s="2"/>
      <c r="V208" s="3"/>
      <c r="Z208" s="3"/>
      <c r="AB208" s="3"/>
      <c r="AE208" s="4"/>
      <c r="AH208" s="3"/>
      <c r="AI208" s="5" t="str">
        <f t="shared" ca="1" si="7"/>
        <v/>
      </c>
    </row>
    <row r="209" spans="1:35">
      <c r="A209" t="str">
        <f t="shared" si="6"/>
        <v/>
      </c>
      <c r="N209" s="3"/>
      <c r="O209" s="3"/>
      <c r="P209" s="3"/>
      <c r="Q209" s="3"/>
      <c r="S209" s="2"/>
      <c r="T209" s="2"/>
      <c r="V209" s="3"/>
      <c r="Z209" s="3"/>
      <c r="AB209" s="3"/>
      <c r="AE209" s="4"/>
      <c r="AH209" s="3"/>
      <c r="AI209" s="5" t="str">
        <f t="shared" ca="1" si="7"/>
        <v/>
      </c>
    </row>
    <row r="210" spans="1:35">
      <c r="A210" t="str">
        <f t="shared" si="6"/>
        <v/>
      </c>
      <c r="N210" s="3"/>
      <c r="O210" s="3"/>
      <c r="P210" s="3"/>
      <c r="Q210" s="3"/>
      <c r="S210" s="2"/>
      <c r="T210" s="2"/>
      <c r="V210" s="3"/>
      <c r="Z210" s="3"/>
      <c r="AB210" s="3"/>
      <c r="AE210" s="4"/>
      <c r="AH210" s="3"/>
      <c r="AI210" s="5" t="str">
        <f t="shared" ca="1" si="7"/>
        <v/>
      </c>
    </row>
    <row r="211" spans="1:35">
      <c r="A211" t="str">
        <f t="shared" si="6"/>
        <v/>
      </c>
      <c r="N211" s="3"/>
      <c r="O211" s="3"/>
      <c r="P211" s="3"/>
      <c r="Q211" s="3"/>
      <c r="S211" s="2"/>
      <c r="T211" s="2"/>
      <c r="V211" s="3"/>
      <c r="Z211" s="3"/>
      <c r="AB211" s="3"/>
      <c r="AE211" s="4"/>
      <c r="AH211" s="3"/>
      <c r="AI211" s="5" t="str">
        <f t="shared" ca="1" si="7"/>
        <v/>
      </c>
    </row>
    <row r="212" spans="1:35">
      <c r="A212" t="str">
        <f t="shared" si="6"/>
        <v/>
      </c>
      <c r="N212" s="3"/>
      <c r="O212" s="3"/>
      <c r="P212" s="3"/>
      <c r="Q212" s="3"/>
      <c r="S212" s="2"/>
      <c r="T212" s="2"/>
      <c r="V212" s="3"/>
      <c r="Z212" s="3"/>
      <c r="AB212" s="3"/>
      <c r="AE212" s="4"/>
      <c r="AH212" s="3"/>
      <c r="AI212" s="5" t="str">
        <f t="shared" ca="1" si="7"/>
        <v/>
      </c>
    </row>
    <row r="213" spans="1:35">
      <c r="A213" t="str">
        <f t="shared" si="6"/>
        <v/>
      </c>
      <c r="N213" s="3"/>
      <c r="O213" s="3"/>
      <c r="P213" s="3"/>
      <c r="Q213" s="3"/>
      <c r="S213" s="2"/>
      <c r="T213" s="2"/>
      <c r="V213" s="3"/>
      <c r="Z213" s="3"/>
      <c r="AB213" s="3"/>
      <c r="AE213" s="4"/>
      <c r="AH213" s="3"/>
      <c r="AI213" s="5" t="str">
        <f t="shared" ca="1" si="7"/>
        <v/>
      </c>
    </row>
    <row r="214" spans="1:35">
      <c r="A214" t="str">
        <f t="shared" si="6"/>
        <v/>
      </c>
      <c r="N214" s="3"/>
      <c r="O214" s="3"/>
      <c r="P214" s="3"/>
      <c r="Q214" s="3"/>
      <c r="S214" s="2"/>
      <c r="T214" s="2"/>
      <c r="V214" s="3"/>
      <c r="Z214" s="3"/>
      <c r="AB214" s="3"/>
      <c r="AE214" s="4"/>
      <c r="AH214" s="3"/>
      <c r="AI214" s="5" t="str">
        <f t="shared" ca="1" si="7"/>
        <v/>
      </c>
    </row>
    <row r="215" spans="1:35">
      <c r="A215" t="str">
        <f t="shared" si="6"/>
        <v/>
      </c>
      <c r="N215" s="3"/>
      <c r="O215" s="3"/>
      <c r="P215" s="3"/>
      <c r="Q215" s="3"/>
      <c r="S215" s="2"/>
      <c r="T215" s="2"/>
      <c r="V215" s="3"/>
      <c r="Z215" s="3"/>
      <c r="AB215" s="3"/>
      <c r="AE215" s="4"/>
      <c r="AH215" s="3"/>
      <c r="AI215" s="5" t="str">
        <f t="shared" ca="1" si="7"/>
        <v/>
      </c>
    </row>
    <row r="216" spans="1:35">
      <c r="A216" t="str">
        <f t="shared" si="6"/>
        <v/>
      </c>
      <c r="N216" s="3"/>
      <c r="O216" s="3"/>
      <c r="P216" s="3"/>
      <c r="Q216" s="3"/>
      <c r="S216" s="2"/>
      <c r="T216" s="2"/>
      <c r="V216" s="3"/>
      <c r="Z216" s="3"/>
      <c r="AB216" s="3"/>
      <c r="AE216" s="4"/>
      <c r="AH216" s="3"/>
      <c r="AI216" s="5" t="str">
        <f t="shared" ca="1" si="7"/>
        <v/>
      </c>
    </row>
    <row r="217" spans="1:35">
      <c r="A217" t="str">
        <f t="shared" si="6"/>
        <v/>
      </c>
      <c r="N217" s="3"/>
      <c r="O217" s="3"/>
      <c r="P217" s="3"/>
      <c r="Q217" s="3"/>
      <c r="S217" s="2"/>
      <c r="T217" s="2"/>
      <c r="V217" s="3"/>
      <c r="Z217" s="3"/>
      <c r="AB217" s="3"/>
      <c r="AE217" s="4"/>
      <c r="AH217" s="3"/>
      <c r="AI217" s="5" t="str">
        <f t="shared" ca="1" si="7"/>
        <v/>
      </c>
    </row>
    <row r="218" spans="1:35">
      <c r="A218" t="str">
        <f t="shared" si="6"/>
        <v/>
      </c>
      <c r="N218" s="3"/>
      <c r="O218" s="3"/>
      <c r="P218" s="3"/>
      <c r="Q218" s="3"/>
      <c r="S218" s="2"/>
      <c r="T218" s="2"/>
      <c r="V218" s="3"/>
      <c r="Z218" s="3"/>
      <c r="AB218" s="3"/>
      <c r="AE218" s="4"/>
      <c r="AH218" s="3"/>
      <c r="AI218" s="5" t="str">
        <f t="shared" ca="1" si="7"/>
        <v/>
      </c>
    </row>
    <row r="219" spans="1:35">
      <c r="A219" t="str">
        <f t="shared" si="6"/>
        <v/>
      </c>
      <c r="N219" s="3"/>
      <c r="O219" s="3"/>
      <c r="P219" s="3"/>
      <c r="Q219" s="3"/>
      <c r="S219" s="2"/>
      <c r="T219" s="2"/>
      <c r="V219" s="3"/>
      <c r="Z219" s="3"/>
      <c r="AB219" s="3"/>
      <c r="AE219" s="4"/>
      <c r="AH219" s="3"/>
      <c r="AI219" s="5" t="str">
        <f t="shared" ca="1" si="7"/>
        <v/>
      </c>
    </row>
    <row r="220" spans="1:35">
      <c r="A220" t="str">
        <f t="shared" si="6"/>
        <v/>
      </c>
      <c r="N220" s="3"/>
      <c r="O220" s="3"/>
      <c r="P220" s="3"/>
      <c r="Q220" s="3"/>
      <c r="S220" s="2"/>
      <c r="T220" s="2"/>
      <c r="V220" s="3"/>
      <c r="Z220" s="3"/>
      <c r="AB220" s="3"/>
      <c r="AE220" s="4"/>
      <c r="AH220" s="3"/>
      <c r="AI220" s="5" t="str">
        <f t="shared" ca="1" si="7"/>
        <v/>
      </c>
    </row>
    <row r="221" spans="1:35">
      <c r="A221" t="str">
        <f t="shared" si="6"/>
        <v/>
      </c>
      <c r="N221" s="3"/>
      <c r="O221" s="3"/>
      <c r="P221" s="3"/>
      <c r="Q221" s="3"/>
      <c r="S221" s="2"/>
      <c r="T221" s="2"/>
      <c r="V221" s="3"/>
      <c r="Z221" s="3"/>
      <c r="AB221" s="3"/>
      <c r="AE221" s="4"/>
      <c r="AH221" s="3"/>
      <c r="AI221" s="5" t="str">
        <f t="shared" ca="1" si="7"/>
        <v/>
      </c>
    </row>
    <row r="222" spans="1:35">
      <c r="A222" t="str">
        <f t="shared" si="6"/>
        <v/>
      </c>
      <c r="N222" s="3"/>
      <c r="O222" s="3"/>
      <c r="P222" s="3"/>
      <c r="Q222" s="3"/>
      <c r="S222" s="2"/>
      <c r="T222" s="2"/>
      <c r="V222" s="3"/>
      <c r="Z222" s="3"/>
      <c r="AB222" s="3"/>
      <c r="AE222" s="4"/>
      <c r="AH222" s="3"/>
      <c r="AI222" s="5" t="str">
        <f t="shared" ca="1" si="7"/>
        <v/>
      </c>
    </row>
    <row r="223" spans="1:35">
      <c r="A223" t="str">
        <f t="shared" si="6"/>
        <v/>
      </c>
      <c r="N223" s="3"/>
      <c r="O223" s="3"/>
      <c r="P223" s="3"/>
      <c r="Q223" s="3"/>
      <c r="S223" s="2"/>
      <c r="T223" s="2"/>
      <c r="V223" s="3"/>
      <c r="Z223" s="3"/>
      <c r="AB223" s="3"/>
      <c r="AE223" s="4"/>
      <c r="AH223" s="3"/>
      <c r="AI223" s="5" t="str">
        <f t="shared" ca="1" si="7"/>
        <v/>
      </c>
    </row>
    <row r="224" spans="1:35">
      <c r="A224" t="str">
        <f t="shared" si="6"/>
        <v/>
      </c>
      <c r="N224" s="3"/>
      <c r="O224" s="3"/>
      <c r="P224" s="3"/>
      <c r="Q224" s="3"/>
      <c r="S224" s="2"/>
      <c r="T224" s="2"/>
      <c r="V224" s="3"/>
      <c r="Z224" s="3"/>
      <c r="AB224" s="3"/>
      <c r="AE224" s="4"/>
      <c r="AH224" s="3"/>
      <c r="AI224" s="5" t="str">
        <f t="shared" ca="1" si="7"/>
        <v/>
      </c>
    </row>
    <row r="225" spans="1:35">
      <c r="A225" t="str">
        <f t="shared" si="6"/>
        <v/>
      </c>
      <c r="N225" s="3"/>
      <c r="O225" s="3"/>
      <c r="P225" s="3"/>
      <c r="Q225" s="3"/>
      <c r="S225" s="2"/>
      <c r="T225" s="2"/>
      <c r="V225" s="3"/>
      <c r="Z225" s="3"/>
      <c r="AB225" s="3"/>
      <c r="AE225" s="4"/>
      <c r="AH225" s="3"/>
      <c r="AI225" s="5" t="str">
        <f t="shared" ca="1" si="7"/>
        <v/>
      </c>
    </row>
    <row r="226" spans="1:35">
      <c r="A226" t="str">
        <f t="shared" si="6"/>
        <v/>
      </c>
      <c r="N226" s="3"/>
      <c r="O226" s="3"/>
      <c r="P226" s="3"/>
      <c r="Q226" s="3"/>
      <c r="S226" s="2"/>
      <c r="T226" s="2"/>
      <c r="V226" s="3"/>
      <c r="Z226" s="3"/>
      <c r="AB226" s="3"/>
      <c r="AE226" s="4"/>
      <c r="AH226" s="3"/>
      <c r="AI226" s="5" t="str">
        <f t="shared" ca="1" si="7"/>
        <v/>
      </c>
    </row>
    <row r="227" spans="1:35">
      <c r="A227" t="str">
        <f t="shared" si="6"/>
        <v/>
      </c>
      <c r="N227" s="3"/>
      <c r="O227" s="3"/>
      <c r="P227" s="3"/>
      <c r="Q227" s="3"/>
      <c r="S227" s="2"/>
      <c r="T227" s="2"/>
      <c r="V227" s="3"/>
      <c r="Z227" s="3"/>
      <c r="AB227" s="3"/>
      <c r="AE227" s="4"/>
      <c r="AH227" s="3"/>
      <c r="AI227" s="5" t="str">
        <f t="shared" ca="1" si="7"/>
        <v/>
      </c>
    </row>
    <row r="228" spans="1:35">
      <c r="A228" t="str">
        <f t="shared" si="6"/>
        <v/>
      </c>
      <c r="N228" s="3"/>
      <c r="O228" s="3"/>
      <c r="P228" s="3"/>
      <c r="Q228" s="3"/>
      <c r="S228" s="2"/>
      <c r="T228" s="2"/>
      <c r="V228" s="3"/>
      <c r="Z228" s="3"/>
      <c r="AB228" s="3"/>
      <c r="AE228" s="4"/>
      <c r="AH228" s="3"/>
      <c r="AI228" s="5" t="str">
        <f t="shared" ca="1" si="7"/>
        <v/>
      </c>
    </row>
    <row r="229" spans="1:35">
      <c r="A229" t="str">
        <f t="shared" si="6"/>
        <v/>
      </c>
      <c r="N229" s="3"/>
      <c r="O229" s="3"/>
      <c r="P229" s="3"/>
      <c r="Q229" s="3"/>
      <c r="S229" s="2"/>
      <c r="T229" s="2"/>
      <c r="V229" s="3"/>
      <c r="Z229" s="3"/>
      <c r="AB229" s="3"/>
      <c r="AE229" s="4"/>
      <c r="AH229" s="3"/>
      <c r="AI229" s="5" t="str">
        <f t="shared" ca="1" si="7"/>
        <v/>
      </c>
    </row>
    <row r="230" spans="1:35">
      <c r="A230" t="str">
        <f t="shared" si="6"/>
        <v/>
      </c>
      <c r="N230" s="3"/>
      <c r="O230" s="3"/>
      <c r="P230" s="3"/>
      <c r="Q230" s="3"/>
      <c r="S230" s="2"/>
      <c r="T230" s="2"/>
      <c r="V230" s="3"/>
      <c r="Z230" s="3"/>
      <c r="AB230" s="3"/>
      <c r="AE230" s="4"/>
      <c r="AH230" s="3"/>
      <c r="AI230" s="5" t="str">
        <f t="shared" ca="1" si="7"/>
        <v/>
      </c>
    </row>
    <row r="231" spans="1:35">
      <c r="A231" t="str">
        <f t="shared" si="6"/>
        <v/>
      </c>
      <c r="N231" s="3"/>
      <c r="O231" s="3"/>
      <c r="P231" s="3"/>
      <c r="Q231" s="3"/>
      <c r="S231" s="2"/>
      <c r="T231" s="2"/>
      <c r="V231" s="3"/>
      <c r="Z231" s="3"/>
      <c r="AB231" s="3"/>
      <c r="AE231" s="4"/>
      <c r="AH231" s="3"/>
      <c r="AI231" s="5" t="str">
        <f t="shared" ca="1" si="7"/>
        <v/>
      </c>
    </row>
    <row r="232" spans="1:35">
      <c r="A232" t="str">
        <f t="shared" si="6"/>
        <v/>
      </c>
      <c r="N232" s="3"/>
      <c r="O232" s="3"/>
      <c r="P232" s="3"/>
      <c r="Q232" s="3"/>
      <c r="S232" s="2"/>
      <c r="T232" s="2"/>
      <c r="V232" s="3"/>
      <c r="Z232" s="3"/>
      <c r="AB232" s="3"/>
      <c r="AE232" s="4"/>
      <c r="AH232" s="3"/>
      <c r="AI232" s="5" t="str">
        <f t="shared" ca="1" si="7"/>
        <v/>
      </c>
    </row>
    <row r="233" spans="1:35">
      <c r="A233" t="str">
        <f t="shared" si="6"/>
        <v/>
      </c>
      <c r="N233" s="3"/>
      <c r="O233" s="3"/>
      <c r="P233" s="3"/>
      <c r="Q233" s="3"/>
      <c r="S233" s="2"/>
      <c r="T233" s="2"/>
      <c r="V233" s="3"/>
      <c r="Z233" s="3"/>
      <c r="AB233" s="3"/>
      <c r="AE233" s="4"/>
      <c r="AH233" s="3"/>
      <c r="AI233" s="5" t="str">
        <f t="shared" ca="1" si="7"/>
        <v/>
      </c>
    </row>
    <row r="234" spans="1:35">
      <c r="A234" t="str">
        <f t="shared" si="6"/>
        <v/>
      </c>
      <c r="N234" s="3"/>
      <c r="O234" s="3"/>
      <c r="P234" s="3"/>
      <c r="Q234" s="3"/>
      <c r="S234" s="2"/>
      <c r="T234" s="2"/>
      <c r="V234" s="3"/>
      <c r="Z234" s="3"/>
      <c r="AB234" s="3"/>
      <c r="AE234" s="4"/>
      <c r="AH234" s="3"/>
      <c r="AI234" s="5" t="str">
        <f t="shared" ca="1" si="7"/>
        <v/>
      </c>
    </row>
    <row r="235" spans="1:35">
      <c r="A235" t="str">
        <f t="shared" si="6"/>
        <v/>
      </c>
      <c r="N235" s="3"/>
      <c r="O235" s="3"/>
      <c r="P235" s="3"/>
      <c r="Q235" s="3"/>
      <c r="S235" s="2"/>
      <c r="T235" s="2"/>
      <c r="V235" s="3"/>
      <c r="Z235" s="3"/>
      <c r="AB235" s="3"/>
      <c r="AE235" s="4"/>
      <c r="AH235" s="3"/>
      <c r="AI235" s="5" t="str">
        <f t="shared" ca="1" si="7"/>
        <v/>
      </c>
    </row>
    <row r="236" spans="1:35">
      <c r="A236" t="str">
        <f t="shared" si="6"/>
        <v/>
      </c>
      <c r="N236" s="3"/>
      <c r="O236" s="3"/>
      <c r="P236" s="3"/>
      <c r="Q236" s="3"/>
      <c r="S236" s="2"/>
      <c r="T236" s="2"/>
      <c r="V236" s="3"/>
      <c r="Z236" s="3"/>
      <c r="AB236" s="3"/>
      <c r="AE236" s="4"/>
      <c r="AH236" s="3"/>
      <c r="AI236" s="5" t="str">
        <f t="shared" ca="1" si="7"/>
        <v/>
      </c>
    </row>
    <row r="237" spans="1:35">
      <c r="A237" t="str">
        <f t="shared" si="6"/>
        <v/>
      </c>
      <c r="N237" s="3"/>
      <c r="O237" s="3"/>
      <c r="P237" s="3"/>
      <c r="Q237" s="3"/>
      <c r="S237" s="2"/>
      <c r="T237" s="2"/>
      <c r="V237" s="3"/>
      <c r="Z237" s="3"/>
      <c r="AB237" s="3"/>
      <c r="AE237" s="4"/>
      <c r="AH237" s="3"/>
      <c r="AI237" s="5" t="str">
        <f t="shared" ca="1" si="7"/>
        <v/>
      </c>
    </row>
    <row r="238" spans="1:35">
      <c r="A238" t="str">
        <f t="shared" si="6"/>
        <v/>
      </c>
      <c r="N238" s="3"/>
      <c r="O238" s="3"/>
      <c r="P238" s="3"/>
      <c r="Q238" s="3"/>
      <c r="S238" s="2"/>
      <c r="T238" s="2"/>
      <c r="V238" s="3"/>
      <c r="Z238" s="3"/>
      <c r="AB238" s="3"/>
      <c r="AE238" s="4"/>
      <c r="AH238" s="3"/>
      <c r="AI238" s="5" t="str">
        <f t="shared" ca="1" si="7"/>
        <v/>
      </c>
    </row>
    <row r="239" spans="1:35">
      <c r="A239" t="str">
        <f t="shared" si="6"/>
        <v/>
      </c>
      <c r="N239" s="3"/>
      <c r="O239" s="3"/>
      <c r="P239" s="3"/>
      <c r="Q239" s="3"/>
      <c r="S239" s="2"/>
      <c r="T239" s="2"/>
      <c r="V239" s="3"/>
      <c r="Z239" s="3"/>
      <c r="AB239" s="3"/>
      <c r="AE239" s="4"/>
      <c r="AH239" s="3"/>
      <c r="AI239" s="5" t="str">
        <f t="shared" ca="1" si="7"/>
        <v/>
      </c>
    </row>
    <row r="240" spans="1:35">
      <c r="A240" t="str">
        <f t="shared" si="6"/>
        <v/>
      </c>
      <c r="N240" s="3"/>
      <c r="O240" s="3"/>
      <c r="P240" s="3"/>
      <c r="Q240" s="3"/>
      <c r="S240" s="2"/>
      <c r="T240" s="2"/>
      <c r="V240" s="3"/>
      <c r="Z240" s="3"/>
      <c r="AB240" s="3"/>
      <c r="AE240" s="4"/>
      <c r="AH240" s="3"/>
      <c r="AI240" s="5" t="str">
        <f t="shared" ca="1" si="7"/>
        <v/>
      </c>
    </row>
    <row r="241" spans="1:35">
      <c r="A241" t="str">
        <f t="shared" si="6"/>
        <v/>
      </c>
      <c r="N241" s="3"/>
      <c r="O241" s="3"/>
      <c r="P241" s="3"/>
      <c r="Q241" s="3"/>
      <c r="S241" s="2"/>
      <c r="T241" s="2"/>
      <c r="V241" s="3"/>
      <c r="Z241" s="3"/>
      <c r="AB241" s="3"/>
      <c r="AE241" s="4"/>
      <c r="AH241" s="3"/>
      <c r="AI241" s="5" t="str">
        <f t="shared" ca="1" si="7"/>
        <v/>
      </c>
    </row>
    <row r="242" spans="1:35">
      <c r="A242" t="str">
        <f t="shared" si="6"/>
        <v/>
      </c>
      <c r="N242" s="3"/>
      <c r="O242" s="3"/>
      <c r="P242" s="3"/>
      <c r="Q242" s="3"/>
      <c r="S242" s="2"/>
      <c r="T242" s="2"/>
      <c r="V242" s="3"/>
      <c r="Z242" s="3"/>
      <c r="AB242" s="3"/>
      <c r="AE242" s="4"/>
      <c r="AH242" s="3"/>
      <c r="AI242" s="5" t="str">
        <f t="shared" ca="1" si="7"/>
        <v/>
      </c>
    </row>
    <row r="243" spans="1:35">
      <c r="A243" t="str">
        <f t="shared" si="6"/>
        <v/>
      </c>
      <c r="N243" s="3"/>
      <c r="O243" s="3"/>
      <c r="P243" s="3"/>
      <c r="Q243" s="3"/>
      <c r="S243" s="2"/>
      <c r="T243" s="2"/>
      <c r="V243" s="3"/>
      <c r="Z243" s="3"/>
      <c r="AB243" s="3"/>
      <c r="AE243" s="4"/>
      <c r="AH243" s="3"/>
      <c r="AI243" s="5" t="str">
        <f t="shared" ca="1" si="7"/>
        <v/>
      </c>
    </row>
    <row r="244" spans="1:35">
      <c r="A244" t="str">
        <f t="shared" si="6"/>
        <v/>
      </c>
      <c r="N244" s="3"/>
      <c r="O244" s="3"/>
      <c r="P244" s="3"/>
      <c r="Q244" s="3"/>
      <c r="S244" s="2"/>
      <c r="T244" s="2"/>
      <c r="V244" s="3"/>
      <c r="Z244" s="3"/>
      <c r="AB244" s="3"/>
      <c r="AE244" s="4"/>
      <c r="AH244" s="3"/>
      <c r="AI244" s="5" t="str">
        <f t="shared" ca="1" si="7"/>
        <v/>
      </c>
    </row>
    <row r="245" spans="1:35">
      <c r="A245" t="str">
        <f t="shared" si="6"/>
        <v/>
      </c>
      <c r="N245" s="3"/>
      <c r="O245" s="3"/>
      <c r="P245" s="3"/>
      <c r="Q245" s="3"/>
      <c r="S245" s="2"/>
      <c r="T245" s="2"/>
      <c r="V245" s="3"/>
      <c r="Z245" s="3"/>
      <c r="AB245" s="3"/>
      <c r="AE245" s="4"/>
      <c r="AH245" s="3"/>
      <c r="AI245" s="5" t="str">
        <f t="shared" ca="1" si="7"/>
        <v/>
      </c>
    </row>
    <row r="246" spans="1:35">
      <c r="A246" t="str">
        <f t="shared" si="6"/>
        <v/>
      </c>
      <c r="N246" s="3"/>
      <c r="O246" s="3"/>
      <c r="P246" s="3"/>
      <c r="Q246" s="3"/>
      <c r="S246" s="2"/>
      <c r="T246" s="2"/>
      <c r="V246" s="3"/>
      <c r="Z246" s="3"/>
      <c r="AB246" s="3"/>
      <c r="AE246" s="4"/>
      <c r="AH246" s="3"/>
      <c r="AI246" s="5" t="str">
        <f t="shared" ca="1" si="7"/>
        <v/>
      </c>
    </row>
    <row r="247" spans="1:35">
      <c r="A247" t="str">
        <f t="shared" si="6"/>
        <v/>
      </c>
      <c r="N247" s="3"/>
      <c r="O247" s="3"/>
      <c r="P247" s="3"/>
      <c r="Q247" s="3"/>
      <c r="S247" s="2"/>
      <c r="T247" s="2"/>
      <c r="V247" s="3"/>
      <c r="Z247" s="3"/>
      <c r="AB247" s="3"/>
      <c r="AE247" s="4"/>
      <c r="AH247" s="3"/>
      <c r="AI247" s="5" t="str">
        <f t="shared" ca="1" si="7"/>
        <v/>
      </c>
    </row>
    <row r="248" spans="1:35">
      <c r="A248" t="str">
        <f t="shared" si="6"/>
        <v/>
      </c>
      <c r="N248" s="3"/>
      <c r="O248" s="3"/>
      <c r="P248" s="3"/>
      <c r="Q248" s="3"/>
      <c r="S248" s="2"/>
      <c r="T248" s="2"/>
      <c r="V248" s="3"/>
      <c r="Z248" s="3"/>
      <c r="AB248" s="3"/>
      <c r="AE248" s="4"/>
      <c r="AH248" s="3"/>
      <c r="AI248" s="5" t="str">
        <f t="shared" ca="1" si="7"/>
        <v/>
      </c>
    </row>
    <row r="249" spans="1:35">
      <c r="A249" t="str">
        <f t="shared" si="6"/>
        <v/>
      </c>
      <c r="N249" s="3"/>
      <c r="O249" s="3"/>
      <c r="P249" s="3"/>
      <c r="Q249" s="3"/>
      <c r="S249" s="2"/>
      <c r="T249" s="2"/>
      <c r="V249" s="3"/>
      <c r="Z249" s="3"/>
      <c r="AB249" s="3"/>
      <c r="AE249" s="4"/>
      <c r="AH249" s="3"/>
      <c r="AI249" s="5" t="str">
        <f t="shared" ca="1" si="7"/>
        <v/>
      </c>
    </row>
    <row r="250" spans="1:35">
      <c r="A250" t="str">
        <f t="shared" si="6"/>
        <v/>
      </c>
      <c r="N250" s="3"/>
      <c r="O250" s="3"/>
      <c r="P250" s="3"/>
      <c r="Q250" s="3"/>
      <c r="S250" s="2"/>
      <c r="T250" s="2"/>
      <c r="V250" s="3"/>
      <c r="Z250" s="3"/>
      <c r="AB250" s="3"/>
      <c r="AE250" s="4"/>
      <c r="AH250" s="3"/>
      <c r="AI250" s="5" t="str">
        <f t="shared" ca="1" si="7"/>
        <v/>
      </c>
    </row>
    <row r="251" spans="1:35">
      <c r="A251" t="str">
        <f t="shared" si="6"/>
        <v/>
      </c>
      <c r="N251" s="3"/>
      <c r="O251" s="3"/>
      <c r="P251" s="3"/>
      <c r="Q251" s="3"/>
      <c r="S251" s="2"/>
      <c r="T251" s="2"/>
      <c r="V251" s="3"/>
      <c r="Z251" s="3"/>
      <c r="AB251" s="3"/>
      <c r="AE251" s="4"/>
      <c r="AH251" s="3"/>
      <c r="AI251" s="5" t="str">
        <f t="shared" ca="1" si="7"/>
        <v/>
      </c>
    </row>
    <row r="252" spans="1:35">
      <c r="A252" t="str">
        <f t="shared" si="6"/>
        <v/>
      </c>
      <c r="N252" s="3"/>
      <c r="O252" s="3"/>
      <c r="P252" s="3"/>
      <c r="Q252" s="3"/>
      <c r="S252" s="2"/>
      <c r="T252" s="2"/>
      <c r="V252" s="3"/>
      <c r="Z252" s="3"/>
      <c r="AB252" s="3"/>
      <c r="AE252" s="4"/>
      <c r="AH252" s="3"/>
      <c r="AI252" s="5" t="str">
        <f t="shared" ca="1" si="7"/>
        <v/>
      </c>
    </row>
    <row r="253" spans="1:35">
      <c r="A253" t="str">
        <f t="shared" si="6"/>
        <v/>
      </c>
      <c r="N253" s="3"/>
      <c r="O253" s="3"/>
      <c r="P253" s="3"/>
      <c r="Q253" s="3"/>
      <c r="S253" s="2"/>
      <c r="T253" s="2"/>
      <c r="V253" s="3"/>
      <c r="Z253" s="3"/>
      <c r="AB253" s="3"/>
      <c r="AE253" s="4"/>
      <c r="AH253" s="3"/>
      <c r="AI253" s="5" t="str">
        <f t="shared" ca="1" si="7"/>
        <v/>
      </c>
    </row>
    <row r="254" spans="1:35">
      <c r="A254" t="str">
        <f t="shared" si="6"/>
        <v/>
      </c>
      <c r="N254" s="3"/>
      <c r="O254" s="3"/>
      <c r="P254" s="3"/>
      <c r="Q254" s="3"/>
      <c r="S254" s="2"/>
      <c r="T254" s="2"/>
      <c r="V254" s="3"/>
      <c r="Z254" s="3"/>
      <c r="AB254" s="3"/>
      <c r="AE254" s="4"/>
      <c r="AH254" s="3"/>
      <c r="AI254" s="5" t="str">
        <f t="shared" ca="1" si="7"/>
        <v/>
      </c>
    </row>
    <row r="255" spans="1:35">
      <c r="A255" t="str">
        <f t="shared" si="6"/>
        <v/>
      </c>
      <c r="N255" s="3"/>
      <c r="O255" s="3"/>
      <c r="P255" s="3"/>
      <c r="Q255" s="3"/>
      <c r="S255" s="2"/>
      <c r="T255" s="2"/>
      <c r="V255" s="3"/>
      <c r="Z255" s="3"/>
      <c r="AB255" s="3"/>
      <c r="AE255" s="4"/>
      <c r="AH255" s="3"/>
      <c r="AI255" s="5" t="str">
        <f t="shared" ca="1" si="7"/>
        <v/>
      </c>
    </row>
    <row r="256" spans="1:35">
      <c r="A256" t="str">
        <f t="shared" si="6"/>
        <v/>
      </c>
      <c r="N256" s="3"/>
      <c r="O256" s="3"/>
      <c r="P256" s="3"/>
      <c r="Q256" s="3"/>
      <c r="S256" s="2"/>
      <c r="T256" s="2"/>
      <c r="V256" s="3"/>
      <c r="Z256" s="3"/>
      <c r="AB256" s="3"/>
      <c r="AE256" s="4"/>
      <c r="AH256" s="3"/>
      <c r="AI256" s="5" t="str">
        <f t="shared" ca="1" si="7"/>
        <v/>
      </c>
    </row>
    <row r="257" spans="1:35">
      <c r="A257" t="str">
        <f t="shared" si="6"/>
        <v/>
      </c>
      <c r="N257" s="3"/>
      <c r="O257" s="3"/>
      <c r="P257" s="3"/>
      <c r="Q257" s="3"/>
      <c r="S257" s="2"/>
      <c r="T257" s="2"/>
      <c r="V257" s="3"/>
      <c r="Z257" s="3"/>
      <c r="AB257" s="3"/>
      <c r="AE257" s="4"/>
      <c r="AH257" s="3"/>
      <c r="AI257" s="5" t="str">
        <f t="shared" ca="1" si="7"/>
        <v/>
      </c>
    </row>
    <row r="258" spans="1:35">
      <c r="A258" t="str">
        <f t="shared" si="6"/>
        <v/>
      </c>
      <c r="N258" s="3"/>
      <c r="O258" s="3"/>
      <c r="P258" s="3"/>
      <c r="Q258" s="3"/>
      <c r="S258" s="2"/>
      <c r="T258" s="2"/>
      <c r="V258" s="3"/>
      <c r="Z258" s="3"/>
      <c r="AB258" s="3"/>
      <c r="AE258" s="4"/>
      <c r="AH258" s="3"/>
      <c r="AI258" s="5" t="str">
        <f t="shared" ca="1" si="7"/>
        <v/>
      </c>
    </row>
    <row r="259" spans="1:35">
      <c r="A259" t="str">
        <f t="shared" si="6"/>
        <v/>
      </c>
      <c r="N259" s="3"/>
      <c r="O259" s="3"/>
      <c r="P259" s="3"/>
      <c r="Q259" s="3"/>
      <c r="S259" s="2"/>
      <c r="T259" s="2"/>
      <c r="V259" s="3"/>
      <c r="Z259" s="3"/>
      <c r="AB259" s="3"/>
      <c r="AE259" s="4"/>
      <c r="AH259" s="3"/>
      <c r="AI259" s="5" t="str">
        <f t="shared" ca="1" si="7"/>
        <v/>
      </c>
    </row>
    <row r="260" spans="1:35">
      <c r="A260" t="str">
        <f t="shared" si="6"/>
        <v/>
      </c>
      <c r="N260" s="3"/>
      <c r="O260" s="3"/>
      <c r="P260" s="3"/>
      <c r="Q260" s="3"/>
      <c r="S260" s="2"/>
      <c r="T260" s="2"/>
      <c r="V260" s="3"/>
      <c r="Z260" s="3"/>
      <c r="AB260" s="3"/>
      <c r="AE260" s="4"/>
      <c r="AH260" s="3"/>
      <c r="AI260" s="5" t="str">
        <f t="shared" ca="1" si="7"/>
        <v/>
      </c>
    </row>
    <row r="261" spans="1:35">
      <c r="A261" t="str">
        <f t="shared" ref="A261:A304" si="8">IF(B261="","",ROW()-4)</f>
        <v/>
      </c>
      <c r="N261" s="3"/>
      <c r="O261" s="3"/>
      <c r="P261" s="3"/>
      <c r="Q261" s="3"/>
      <c r="S261" s="2"/>
      <c r="T261" s="2"/>
      <c r="V261" s="3"/>
      <c r="Z261" s="3"/>
      <c r="AB261" s="3"/>
      <c r="AE261" s="4"/>
      <c r="AH261" s="3"/>
      <c r="AI261" s="5" t="str">
        <f t="shared" ref="AI261:AI304" ca="1" si="9">IF(V261="","",V261-TODAY())</f>
        <v/>
      </c>
    </row>
    <row r="262" spans="1:35">
      <c r="A262" t="str">
        <f t="shared" si="8"/>
        <v/>
      </c>
      <c r="N262" s="3"/>
      <c r="O262" s="3"/>
      <c r="P262" s="3"/>
      <c r="Q262" s="3"/>
      <c r="S262" s="2"/>
      <c r="T262" s="2"/>
      <c r="V262" s="3"/>
      <c r="Z262" s="3"/>
      <c r="AB262" s="3"/>
      <c r="AE262" s="4"/>
      <c r="AH262" s="3"/>
      <c r="AI262" s="5" t="str">
        <f t="shared" ca="1" si="9"/>
        <v/>
      </c>
    </row>
    <row r="263" spans="1:35">
      <c r="A263" t="str">
        <f t="shared" si="8"/>
        <v/>
      </c>
      <c r="N263" s="3"/>
      <c r="O263" s="3"/>
      <c r="P263" s="3"/>
      <c r="Q263" s="3"/>
      <c r="S263" s="2"/>
      <c r="T263" s="2"/>
      <c r="V263" s="3"/>
      <c r="Z263" s="3"/>
      <c r="AB263" s="3"/>
      <c r="AE263" s="4"/>
      <c r="AH263" s="3"/>
      <c r="AI263" s="5" t="str">
        <f t="shared" ca="1" si="9"/>
        <v/>
      </c>
    </row>
    <row r="264" spans="1:35">
      <c r="A264" t="str">
        <f t="shared" si="8"/>
        <v/>
      </c>
      <c r="N264" s="3"/>
      <c r="O264" s="3"/>
      <c r="P264" s="3"/>
      <c r="Q264" s="3"/>
      <c r="S264" s="2"/>
      <c r="T264" s="2"/>
      <c r="V264" s="3"/>
      <c r="Z264" s="3"/>
      <c r="AB264" s="3"/>
      <c r="AE264" s="4"/>
      <c r="AH264" s="3"/>
      <c r="AI264" s="5" t="str">
        <f t="shared" ca="1" si="9"/>
        <v/>
      </c>
    </row>
    <row r="265" spans="1:35">
      <c r="A265" t="str">
        <f t="shared" si="8"/>
        <v/>
      </c>
      <c r="N265" s="3"/>
      <c r="O265" s="3"/>
      <c r="P265" s="3"/>
      <c r="Q265" s="3"/>
      <c r="S265" s="2"/>
      <c r="T265" s="2"/>
      <c r="V265" s="3"/>
      <c r="Z265" s="3"/>
      <c r="AB265" s="3"/>
      <c r="AE265" s="4"/>
      <c r="AH265" s="3"/>
      <c r="AI265" s="5" t="str">
        <f t="shared" ca="1" si="9"/>
        <v/>
      </c>
    </row>
    <row r="266" spans="1:35">
      <c r="A266" t="str">
        <f t="shared" si="8"/>
        <v/>
      </c>
      <c r="N266" s="3"/>
      <c r="O266" s="3"/>
      <c r="P266" s="3"/>
      <c r="Q266" s="3"/>
      <c r="S266" s="2"/>
      <c r="T266" s="2"/>
      <c r="V266" s="3"/>
      <c r="Z266" s="3"/>
      <c r="AB266" s="3"/>
      <c r="AE266" s="4"/>
      <c r="AH266" s="3"/>
      <c r="AI266" s="5" t="str">
        <f t="shared" ca="1" si="9"/>
        <v/>
      </c>
    </row>
    <row r="267" spans="1:35">
      <c r="A267" t="str">
        <f t="shared" si="8"/>
        <v/>
      </c>
      <c r="N267" s="3"/>
      <c r="O267" s="3"/>
      <c r="P267" s="3"/>
      <c r="Q267" s="3"/>
      <c r="S267" s="2"/>
      <c r="T267" s="2"/>
      <c r="V267" s="3"/>
      <c r="Z267" s="3"/>
      <c r="AB267" s="3"/>
      <c r="AE267" s="4"/>
      <c r="AH267" s="3"/>
      <c r="AI267" s="5" t="str">
        <f t="shared" ca="1" si="9"/>
        <v/>
      </c>
    </row>
    <row r="268" spans="1:35">
      <c r="A268" t="str">
        <f t="shared" si="8"/>
        <v/>
      </c>
      <c r="N268" s="3"/>
      <c r="O268" s="3"/>
      <c r="P268" s="3"/>
      <c r="Q268" s="3"/>
      <c r="S268" s="2"/>
      <c r="T268" s="2"/>
      <c r="V268" s="3"/>
      <c r="Z268" s="3"/>
      <c r="AB268" s="3"/>
      <c r="AE268" s="4"/>
      <c r="AH268" s="3"/>
      <c r="AI268" s="5" t="str">
        <f t="shared" ca="1" si="9"/>
        <v/>
      </c>
    </row>
    <row r="269" spans="1:35">
      <c r="A269" t="str">
        <f t="shared" si="8"/>
        <v/>
      </c>
      <c r="N269" s="3"/>
      <c r="O269" s="3"/>
      <c r="P269" s="3"/>
      <c r="Q269" s="3"/>
      <c r="S269" s="2"/>
      <c r="T269" s="2"/>
      <c r="V269" s="3"/>
      <c r="Z269" s="3"/>
      <c r="AB269" s="3"/>
      <c r="AE269" s="4"/>
      <c r="AH269" s="3"/>
      <c r="AI269" s="5" t="str">
        <f t="shared" ca="1" si="9"/>
        <v/>
      </c>
    </row>
    <row r="270" spans="1:35">
      <c r="A270" t="str">
        <f t="shared" si="8"/>
        <v/>
      </c>
      <c r="N270" s="3"/>
      <c r="O270" s="3"/>
      <c r="P270" s="3"/>
      <c r="Q270" s="3"/>
      <c r="S270" s="2"/>
      <c r="T270" s="2"/>
      <c r="V270" s="3"/>
      <c r="Z270" s="3"/>
      <c r="AB270" s="3"/>
      <c r="AE270" s="4"/>
      <c r="AH270" s="3"/>
      <c r="AI270" s="5" t="str">
        <f t="shared" ca="1" si="9"/>
        <v/>
      </c>
    </row>
    <row r="271" spans="1:35">
      <c r="A271" t="str">
        <f t="shared" si="8"/>
        <v/>
      </c>
      <c r="N271" s="3"/>
      <c r="O271" s="3"/>
      <c r="P271" s="3"/>
      <c r="Q271" s="3"/>
      <c r="S271" s="2"/>
      <c r="T271" s="2"/>
      <c r="V271" s="3"/>
      <c r="Z271" s="3"/>
      <c r="AB271" s="3"/>
      <c r="AE271" s="4"/>
      <c r="AH271" s="3"/>
      <c r="AI271" s="5" t="str">
        <f t="shared" ca="1" si="9"/>
        <v/>
      </c>
    </row>
    <row r="272" spans="1:35">
      <c r="A272" t="str">
        <f t="shared" si="8"/>
        <v/>
      </c>
      <c r="N272" s="3"/>
      <c r="O272" s="3"/>
      <c r="P272" s="3"/>
      <c r="Q272" s="3"/>
      <c r="S272" s="2"/>
      <c r="T272" s="2"/>
      <c r="V272" s="3"/>
      <c r="Z272" s="3"/>
      <c r="AB272" s="3"/>
      <c r="AE272" s="4"/>
      <c r="AH272" s="3"/>
      <c r="AI272" s="5" t="str">
        <f t="shared" ca="1" si="9"/>
        <v/>
      </c>
    </row>
    <row r="273" spans="1:35">
      <c r="A273" t="str">
        <f t="shared" si="8"/>
        <v/>
      </c>
      <c r="N273" s="3"/>
      <c r="O273" s="3"/>
      <c r="P273" s="3"/>
      <c r="Q273" s="3"/>
      <c r="S273" s="2"/>
      <c r="T273" s="2"/>
      <c r="V273" s="3"/>
      <c r="Z273" s="3"/>
      <c r="AB273" s="3"/>
      <c r="AE273" s="4"/>
      <c r="AH273" s="3"/>
      <c r="AI273" s="5" t="str">
        <f t="shared" ca="1" si="9"/>
        <v/>
      </c>
    </row>
    <row r="274" spans="1:35">
      <c r="A274" t="str">
        <f t="shared" si="8"/>
        <v/>
      </c>
      <c r="N274" s="3"/>
      <c r="O274" s="3"/>
      <c r="P274" s="3"/>
      <c r="Q274" s="3"/>
      <c r="S274" s="2"/>
      <c r="T274" s="2"/>
      <c r="V274" s="3"/>
      <c r="Z274" s="3"/>
      <c r="AB274" s="3"/>
      <c r="AE274" s="4"/>
      <c r="AH274" s="3"/>
      <c r="AI274" s="5" t="str">
        <f t="shared" ca="1" si="9"/>
        <v/>
      </c>
    </row>
    <row r="275" spans="1:35">
      <c r="A275" t="str">
        <f t="shared" si="8"/>
        <v/>
      </c>
      <c r="N275" s="3"/>
      <c r="O275" s="3"/>
      <c r="P275" s="3"/>
      <c r="Q275" s="3"/>
      <c r="S275" s="2"/>
      <c r="T275" s="2"/>
      <c r="V275" s="3"/>
      <c r="Z275" s="3"/>
      <c r="AB275" s="3"/>
      <c r="AE275" s="4"/>
      <c r="AH275" s="3"/>
      <c r="AI275" s="5" t="str">
        <f t="shared" ca="1" si="9"/>
        <v/>
      </c>
    </row>
    <row r="276" spans="1:35">
      <c r="A276" t="str">
        <f t="shared" si="8"/>
        <v/>
      </c>
      <c r="N276" s="3"/>
      <c r="O276" s="3"/>
      <c r="P276" s="3"/>
      <c r="Q276" s="3"/>
      <c r="S276" s="2"/>
      <c r="T276" s="2"/>
      <c r="V276" s="3"/>
      <c r="Z276" s="3"/>
      <c r="AB276" s="3"/>
      <c r="AE276" s="4"/>
      <c r="AH276" s="3"/>
      <c r="AI276" s="5" t="str">
        <f t="shared" ca="1" si="9"/>
        <v/>
      </c>
    </row>
    <row r="277" spans="1:35">
      <c r="A277" t="str">
        <f t="shared" si="8"/>
        <v/>
      </c>
      <c r="N277" s="3"/>
      <c r="O277" s="3"/>
      <c r="P277" s="3"/>
      <c r="Q277" s="3"/>
      <c r="S277" s="2"/>
      <c r="T277" s="2"/>
      <c r="V277" s="3"/>
      <c r="Z277" s="3"/>
      <c r="AB277" s="3"/>
      <c r="AE277" s="4"/>
      <c r="AH277" s="3"/>
      <c r="AI277" s="5" t="str">
        <f t="shared" ca="1" si="9"/>
        <v/>
      </c>
    </row>
    <row r="278" spans="1:35">
      <c r="A278" t="str">
        <f t="shared" si="8"/>
        <v/>
      </c>
      <c r="N278" s="3"/>
      <c r="O278" s="3"/>
      <c r="P278" s="3"/>
      <c r="Q278" s="3"/>
      <c r="S278" s="2"/>
      <c r="T278" s="2"/>
      <c r="V278" s="3"/>
      <c r="Z278" s="3"/>
      <c r="AB278" s="3"/>
      <c r="AE278" s="4"/>
      <c r="AH278" s="3"/>
      <c r="AI278" s="5" t="str">
        <f t="shared" ca="1" si="9"/>
        <v/>
      </c>
    </row>
    <row r="279" spans="1:35">
      <c r="A279" t="str">
        <f t="shared" si="8"/>
        <v/>
      </c>
      <c r="N279" s="3"/>
      <c r="O279" s="3"/>
      <c r="P279" s="3"/>
      <c r="Q279" s="3"/>
      <c r="S279" s="2"/>
      <c r="T279" s="2"/>
      <c r="V279" s="3"/>
      <c r="Z279" s="3"/>
      <c r="AB279" s="3"/>
      <c r="AE279" s="4"/>
      <c r="AH279" s="3"/>
      <c r="AI279" s="5" t="str">
        <f t="shared" ca="1" si="9"/>
        <v/>
      </c>
    </row>
    <row r="280" spans="1:35">
      <c r="A280" t="str">
        <f t="shared" si="8"/>
        <v/>
      </c>
      <c r="N280" s="3"/>
      <c r="O280" s="3"/>
      <c r="P280" s="3"/>
      <c r="Q280" s="3"/>
      <c r="S280" s="2"/>
      <c r="T280" s="2"/>
      <c r="V280" s="3"/>
      <c r="Z280" s="3"/>
      <c r="AB280" s="3"/>
      <c r="AE280" s="4"/>
      <c r="AH280" s="3"/>
      <c r="AI280" s="5" t="str">
        <f t="shared" ca="1" si="9"/>
        <v/>
      </c>
    </row>
    <row r="281" spans="1:35">
      <c r="A281" t="str">
        <f t="shared" si="8"/>
        <v/>
      </c>
      <c r="N281" s="3"/>
      <c r="O281" s="3"/>
      <c r="P281" s="3"/>
      <c r="Q281" s="3"/>
      <c r="S281" s="2"/>
      <c r="T281" s="2"/>
      <c r="V281" s="3"/>
      <c r="Z281" s="3"/>
      <c r="AB281" s="3"/>
      <c r="AE281" s="4"/>
      <c r="AH281" s="3"/>
      <c r="AI281" s="5" t="str">
        <f t="shared" ca="1" si="9"/>
        <v/>
      </c>
    </row>
    <row r="282" spans="1:35">
      <c r="A282" t="str">
        <f t="shared" si="8"/>
        <v/>
      </c>
      <c r="N282" s="3"/>
      <c r="O282" s="3"/>
      <c r="P282" s="3"/>
      <c r="Q282" s="3"/>
      <c r="S282" s="2"/>
      <c r="T282" s="2"/>
      <c r="V282" s="3"/>
      <c r="Z282" s="3"/>
      <c r="AB282" s="3"/>
      <c r="AE282" s="4"/>
      <c r="AH282" s="3"/>
      <c r="AI282" s="5" t="str">
        <f t="shared" ca="1" si="9"/>
        <v/>
      </c>
    </row>
    <row r="283" spans="1:35">
      <c r="A283" t="str">
        <f t="shared" si="8"/>
        <v/>
      </c>
      <c r="N283" s="3"/>
      <c r="O283" s="3"/>
      <c r="P283" s="3"/>
      <c r="Q283" s="3"/>
      <c r="S283" s="2"/>
      <c r="T283" s="2"/>
      <c r="V283" s="3"/>
      <c r="Z283" s="3"/>
      <c r="AB283" s="3"/>
      <c r="AE283" s="4"/>
      <c r="AH283" s="3"/>
      <c r="AI283" s="5" t="str">
        <f t="shared" ca="1" si="9"/>
        <v/>
      </c>
    </row>
    <row r="284" spans="1:35">
      <c r="A284" t="str">
        <f t="shared" si="8"/>
        <v/>
      </c>
      <c r="N284" s="3"/>
      <c r="O284" s="3"/>
      <c r="P284" s="3"/>
      <c r="Q284" s="3"/>
      <c r="S284" s="2"/>
      <c r="T284" s="2"/>
      <c r="V284" s="3"/>
      <c r="Z284" s="3"/>
      <c r="AB284" s="3"/>
      <c r="AE284" s="4"/>
      <c r="AH284" s="3"/>
      <c r="AI284" s="5" t="str">
        <f t="shared" ca="1" si="9"/>
        <v/>
      </c>
    </row>
    <row r="285" spans="1:35">
      <c r="A285" t="str">
        <f t="shared" si="8"/>
        <v/>
      </c>
      <c r="N285" s="3"/>
      <c r="O285" s="3"/>
      <c r="P285" s="3"/>
      <c r="Q285" s="3"/>
      <c r="S285" s="2"/>
      <c r="T285" s="2"/>
      <c r="V285" s="3"/>
      <c r="Z285" s="3"/>
      <c r="AB285" s="3"/>
      <c r="AE285" s="4"/>
      <c r="AH285" s="3"/>
      <c r="AI285" s="5" t="str">
        <f t="shared" ca="1" si="9"/>
        <v/>
      </c>
    </row>
    <row r="286" spans="1:35">
      <c r="A286" t="str">
        <f t="shared" si="8"/>
        <v/>
      </c>
      <c r="N286" s="3"/>
      <c r="O286" s="3"/>
      <c r="P286" s="3"/>
      <c r="Q286" s="3"/>
      <c r="S286" s="2"/>
      <c r="T286" s="2"/>
      <c r="V286" s="3"/>
      <c r="Z286" s="3"/>
      <c r="AB286" s="3"/>
      <c r="AE286" s="4"/>
      <c r="AH286" s="3"/>
      <c r="AI286" s="5" t="str">
        <f t="shared" ca="1" si="9"/>
        <v/>
      </c>
    </row>
    <row r="287" spans="1:35">
      <c r="A287" t="str">
        <f t="shared" si="8"/>
        <v/>
      </c>
      <c r="N287" s="3"/>
      <c r="O287" s="3"/>
      <c r="P287" s="3"/>
      <c r="Q287" s="3"/>
      <c r="S287" s="2"/>
      <c r="T287" s="2"/>
      <c r="V287" s="3"/>
      <c r="Z287" s="3"/>
      <c r="AB287" s="3"/>
      <c r="AE287" s="4"/>
      <c r="AH287" s="3"/>
      <c r="AI287" s="5" t="str">
        <f t="shared" ca="1" si="9"/>
        <v/>
      </c>
    </row>
    <row r="288" spans="1:35">
      <c r="A288" t="str">
        <f t="shared" si="8"/>
        <v/>
      </c>
      <c r="N288" s="3"/>
      <c r="O288" s="3"/>
      <c r="P288" s="3"/>
      <c r="Q288" s="3"/>
      <c r="S288" s="2"/>
      <c r="T288" s="2"/>
      <c r="V288" s="3"/>
      <c r="Z288" s="3"/>
      <c r="AB288" s="3"/>
      <c r="AE288" s="4"/>
      <c r="AH288" s="3"/>
      <c r="AI288" s="5" t="str">
        <f t="shared" ca="1" si="9"/>
        <v/>
      </c>
    </row>
    <row r="289" spans="1:35">
      <c r="A289" t="str">
        <f t="shared" si="8"/>
        <v/>
      </c>
      <c r="N289" s="3"/>
      <c r="O289" s="3"/>
      <c r="P289" s="3"/>
      <c r="Q289" s="3"/>
      <c r="S289" s="2"/>
      <c r="T289" s="2"/>
      <c r="V289" s="3"/>
      <c r="Z289" s="3"/>
      <c r="AB289" s="3"/>
      <c r="AE289" s="4"/>
      <c r="AH289" s="3"/>
      <c r="AI289" s="5" t="str">
        <f t="shared" ca="1" si="9"/>
        <v/>
      </c>
    </row>
    <row r="290" spans="1:35">
      <c r="A290" t="str">
        <f t="shared" si="8"/>
        <v/>
      </c>
      <c r="N290" s="3"/>
      <c r="O290" s="3"/>
      <c r="P290" s="3"/>
      <c r="Q290" s="3"/>
      <c r="S290" s="2"/>
      <c r="T290" s="2"/>
      <c r="V290" s="3"/>
      <c r="Z290" s="3"/>
      <c r="AB290" s="3"/>
      <c r="AE290" s="4"/>
      <c r="AH290" s="3"/>
      <c r="AI290" s="5" t="str">
        <f t="shared" ca="1" si="9"/>
        <v/>
      </c>
    </row>
    <row r="291" spans="1:35">
      <c r="A291" t="str">
        <f t="shared" si="8"/>
        <v/>
      </c>
      <c r="N291" s="3"/>
      <c r="O291" s="3"/>
      <c r="P291" s="3"/>
      <c r="Q291" s="3"/>
      <c r="S291" s="2"/>
      <c r="T291" s="2"/>
      <c r="V291" s="3"/>
      <c r="Z291" s="3"/>
      <c r="AB291" s="3"/>
      <c r="AE291" s="4"/>
      <c r="AH291" s="3"/>
      <c r="AI291" s="5" t="str">
        <f t="shared" ca="1" si="9"/>
        <v/>
      </c>
    </row>
    <row r="292" spans="1:35">
      <c r="A292" t="str">
        <f t="shared" si="8"/>
        <v/>
      </c>
      <c r="N292" s="3"/>
      <c r="O292" s="3"/>
      <c r="P292" s="3"/>
      <c r="Q292" s="3"/>
      <c r="S292" s="2"/>
      <c r="T292" s="2"/>
      <c r="V292" s="3"/>
      <c r="Z292" s="3"/>
      <c r="AB292" s="3"/>
      <c r="AE292" s="4"/>
      <c r="AH292" s="3"/>
      <c r="AI292" s="5" t="str">
        <f t="shared" ca="1" si="9"/>
        <v/>
      </c>
    </row>
    <row r="293" spans="1:35">
      <c r="A293" t="str">
        <f t="shared" si="8"/>
        <v/>
      </c>
      <c r="N293" s="3"/>
      <c r="O293" s="3"/>
      <c r="P293" s="3"/>
      <c r="Q293" s="3"/>
      <c r="S293" s="2"/>
      <c r="T293" s="2"/>
      <c r="V293" s="3"/>
      <c r="Z293" s="3"/>
      <c r="AB293" s="3"/>
      <c r="AE293" s="4"/>
      <c r="AH293" s="3"/>
      <c r="AI293" s="5" t="str">
        <f t="shared" ca="1" si="9"/>
        <v/>
      </c>
    </row>
    <row r="294" spans="1:35">
      <c r="A294" t="str">
        <f t="shared" si="8"/>
        <v/>
      </c>
      <c r="N294" s="3"/>
      <c r="O294" s="3"/>
      <c r="P294" s="3"/>
      <c r="Q294" s="3"/>
      <c r="S294" s="2"/>
      <c r="T294" s="2"/>
      <c r="V294" s="3"/>
      <c r="Z294" s="3"/>
      <c r="AB294" s="3"/>
      <c r="AE294" s="4"/>
      <c r="AH294" s="3"/>
      <c r="AI294" s="5" t="str">
        <f t="shared" ca="1" si="9"/>
        <v/>
      </c>
    </row>
    <row r="295" spans="1:35">
      <c r="A295" t="str">
        <f t="shared" si="8"/>
        <v/>
      </c>
      <c r="N295" s="3"/>
      <c r="O295" s="3"/>
      <c r="P295" s="3"/>
      <c r="Q295" s="3"/>
      <c r="S295" s="2"/>
      <c r="T295" s="2"/>
      <c r="V295" s="3"/>
      <c r="Z295" s="3"/>
      <c r="AB295" s="3"/>
      <c r="AE295" s="4"/>
      <c r="AH295" s="3"/>
      <c r="AI295" s="5" t="str">
        <f t="shared" ca="1" si="9"/>
        <v/>
      </c>
    </row>
    <row r="296" spans="1:35">
      <c r="A296" t="str">
        <f t="shared" si="8"/>
        <v/>
      </c>
      <c r="N296" s="3"/>
      <c r="O296" s="3"/>
      <c r="P296" s="3"/>
      <c r="Q296" s="3"/>
      <c r="S296" s="2"/>
      <c r="T296" s="2"/>
      <c r="V296" s="3"/>
      <c r="Z296" s="3"/>
      <c r="AB296" s="3"/>
      <c r="AE296" s="4"/>
      <c r="AH296" s="3"/>
      <c r="AI296" s="5" t="str">
        <f t="shared" ca="1" si="9"/>
        <v/>
      </c>
    </row>
    <row r="297" spans="1:35">
      <c r="A297" t="str">
        <f t="shared" si="8"/>
        <v/>
      </c>
      <c r="N297" s="3"/>
      <c r="O297" s="3"/>
      <c r="P297" s="3"/>
      <c r="Q297" s="3"/>
      <c r="S297" s="2"/>
      <c r="T297" s="2"/>
      <c r="V297" s="3"/>
      <c r="Z297" s="3"/>
      <c r="AB297" s="3"/>
      <c r="AE297" s="4"/>
      <c r="AH297" s="3"/>
      <c r="AI297" s="5" t="str">
        <f t="shared" ca="1" si="9"/>
        <v/>
      </c>
    </row>
    <row r="298" spans="1:35">
      <c r="A298" t="str">
        <f t="shared" si="8"/>
        <v/>
      </c>
      <c r="N298" s="3"/>
      <c r="O298" s="3"/>
      <c r="P298" s="3"/>
      <c r="Q298" s="3"/>
      <c r="S298" s="2"/>
      <c r="T298" s="2"/>
      <c r="V298" s="3"/>
      <c r="Z298" s="3"/>
      <c r="AB298" s="3"/>
      <c r="AE298" s="4"/>
      <c r="AH298" s="3"/>
      <c r="AI298" s="5" t="str">
        <f t="shared" ca="1" si="9"/>
        <v/>
      </c>
    </row>
    <row r="299" spans="1:35">
      <c r="A299" t="str">
        <f t="shared" si="8"/>
        <v/>
      </c>
      <c r="N299" s="3"/>
      <c r="O299" s="3"/>
      <c r="P299" s="3"/>
      <c r="Q299" s="3"/>
      <c r="S299" s="2"/>
      <c r="T299" s="2"/>
      <c r="V299" s="3"/>
      <c r="Z299" s="3"/>
      <c r="AB299" s="3"/>
      <c r="AE299" s="4"/>
      <c r="AH299" s="3"/>
      <c r="AI299" s="5" t="str">
        <f t="shared" ca="1" si="9"/>
        <v/>
      </c>
    </row>
    <row r="300" spans="1:35">
      <c r="A300" t="str">
        <f t="shared" si="8"/>
        <v/>
      </c>
      <c r="N300" s="3"/>
      <c r="O300" s="3"/>
      <c r="P300" s="3"/>
      <c r="Q300" s="3"/>
      <c r="S300" s="2"/>
      <c r="T300" s="2"/>
      <c r="V300" s="3"/>
      <c r="Z300" s="3"/>
      <c r="AB300" s="3"/>
      <c r="AE300" s="4"/>
      <c r="AH300" s="3"/>
      <c r="AI300" s="5" t="str">
        <f t="shared" ca="1" si="9"/>
        <v/>
      </c>
    </row>
    <row r="301" spans="1:35">
      <c r="A301" t="str">
        <f t="shared" si="8"/>
        <v/>
      </c>
      <c r="N301" s="3"/>
      <c r="O301" s="3"/>
      <c r="P301" s="3"/>
      <c r="Q301" s="3"/>
      <c r="S301" s="2"/>
      <c r="T301" s="2"/>
      <c r="V301" s="3"/>
      <c r="Z301" s="3"/>
      <c r="AB301" s="3"/>
      <c r="AE301" s="4"/>
      <c r="AH301" s="3"/>
      <c r="AI301" s="5" t="str">
        <f t="shared" ca="1" si="9"/>
        <v/>
      </c>
    </row>
    <row r="302" spans="1:35">
      <c r="A302" t="str">
        <f t="shared" si="8"/>
        <v/>
      </c>
      <c r="N302" s="3"/>
      <c r="O302" s="3"/>
      <c r="P302" s="3"/>
      <c r="Q302" s="3"/>
      <c r="S302" s="2"/>
      <c r="T302" s="2"/>
      <c r="V302" s="3"/>
      <c r="Z302" s="3"/>
      <c r="AB302" s="3"/>
      <c r="AE302" s="4"/>
      <c r="AH302" s="3"/>
      <c r="AI302" s="5" t="str">
        <f t="shared" ca="1" si="9"/>
        <v/>
      </c>
    </row>
    <row r="303" spans="1:35">
      <c r="A303" t="str">
        <f t="shared" si="8"/>
        <v/>
      </c>
      <c r="N303" s="3"/>
      <c r="O303" s="3"/>
      <c r="P303" s="3"/>
      <c r="Q303" s="3"/>
      <c r="S303" s="2"/>
      <c r="T303" s="2"/>
      <c r="V303" s="3"/>
      <c r="Z303" s="3"/>
      <c r="AB303" s="3"/>
      <c r="AE303" s="4"/>
      <c r="AH303" s="3"/>
      <c r="AI303" s="5" t="str">
        <f t="shared" ca="1" si="9"/>
        <v/>
      </c>
    </row>
    <row r="304" spans="1:35">
      <c r="A304" t="str">
        <f t="shared" si="8"/>
        <v/>
      </c>
      <c r="N304" s="3"/>
      <c r="O304" s="3"/>
      <c r="P304" s="3"/>
      <c r="Q304" s="3"/>
      <c r="S304" s="2"/>
      <c r="T304" s="2"/>
      <c r="V304" s="3"/>
      <c r="Z304" s="3"/>
      <c r="AB304" s="3"/>
      <c r="AE304" s="4"/>
      <c r="AH304" s="3"/>
      <c r="AI304" s="5" t="str">
        <f t="shared" ca="1" si="9"/>
        <v/>
      </c>
    </row>
  </sheetData>
  <mergeCells count="2">
    <mergeCell ref="A1:AE1"/>
    <mergeCell ref="A2:AE2"/>
  </mergeCells>
  <conditionalFormatting sqref="AA5:AA304">
    <cfRule type="expression" dxfId="2" priority="3">
      <formula>$AA5="Yes"</formula>
    </cfRule>
  </conditionalFormatting>
  <conditionalFormatting sqref="AI5:AI304">
    <cfRule type="expression" dxfId="1" priority="1">
      <formula>AND($V5&lt;&gt;"",$AI5&lt;0,$M5&lt;&gt;"Closed / Do Not Contact",$M5&lt;&gt;"Client")</formula>
    </cfRule>
    <cfRule type="expression" dxfId="0" priority="2">
      <formula>AND($V5&lt;&gt;"",$AI5&gt;=0,$AI5&lt;=7)</formula>
    </cfRule>
  </conditionalFormatting>
  <dataValidations count="1">
    <dataValidation type="list" sqref="AA5:AA304 AC5:AC304" xr:uid="{00000000-0002-0000-0100-000006000000}">
      <formula1>"No,Yes"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Lists!$B$2:$B$10</xm:f>
          </x14:formula1>
          <xm:sqref>I5:I304</xm:sqref>
        </x14:dataValidation>
        <x14:dataValidation type="list" xr:uid="{00000000-0002-0000-0100-000001000000}">
          <x14:formula1>
            <xm:f>Lists!$C$2:$C$7</xm:f>
          </x14:formula1>
          <xm:sqref>L5:L304</xm:sqref>
        </x14:dataValidation>
        <x14:dataValidation type="list" xr:uid="{00000000-0002-0000-0100-000002000000}">
          <x14:formula1>
            <xm:f>Lists!$A$2:$A$12</xm:f>
          </x14:formula1>
          <xm:sqref>M5:M304</xm:sqref>
        </x14:dataValidation>
        <x14:dataValidation type="list" xr:uid="{00000000-0002-0000-0100-000003000000}">
          <x14:formula1>
            <xm:f>Lists!$G$2:$G$9</xm:f>
          </x14:formula1>
          <xm:sqref>U5:U304</xm:sqref>
        </x14:dataValidation>
        <x14:dataValidation type="list" xr:uid="{00000000-0002-0000-0100-000004000000}">
          <x14:formula1>
            <xm:f>Lists!$F$2:$F$8</xm:f>
          </x14:formula1>
          <xm:sqref>X5:X304</xm:sqref>
        </x14:dataValidation>
        <x14:dataValidation type="list" xr:uid="{00000000-0002-0000-0100-000005000000}">
          <x14:formula1>
            <xm:f>Lists!$E$2:$E$7</xm:f>
          </x14:formula1>
          <xm:sqref>AG5:AG304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3"/>
  <sheetViews>
    <sheetView workbookViewId="0">
      <selection activeCell="I4" sqref="I4"/>
    </sheetView>
  </sheetViews>
  <sheetFormatPr baseColWidth="10" defaultColWidth="8.83203125" defaultRowHeight="14"/>
  <cols>
    <col min="1" max="1" width="16" customWidth="1"/>
    <col min="2" max="2" width="32" customWidth="1"/>
    <col min="3" max="3" width="26" customWidth="1"/>
    <col min="4" max="4" width="30" customWidth="1"/>
    <col min="5" max="5" width="22" customWidth="1"/>
    <col min="6" max="6" width="18" customWidth="1"/>
    <col min="7" max="7" width="22" customWidth="1"/>
    <col min="8" max="8" width="18" customWidth="1"/>
    <col min="9" max="9" width="25" customWidth="1"/>
    <col min="10" max="10" width="18" customWidth="1"/>
    <col min="11" max="12" width="16" customWidth="1"/>
    <col min="13" max="13" width="14" customWidth="1"/>
    <col min="14" max="14" width="38" customWidth="1"/>
    <col min="15" max="16" width="24" customWidth="1"/>
  </cols>
  <sheetData>
    <row r="1" spans="1:16" ht="21">
      <c r="A1" s="14" t="s">
        <v>107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32">
      <c r="A3" s="1" t="s">
        <v>102</v>
      </c>
      <c r="B3" s="1" t="s">
        <v>108</v>
      </c>
      <c r="C3" s="1" t="s">
        <v>82</v>
      </c>
      <c r="D3" s="1" t="s">
        <v>109</v>
      </c>
      <c r="E3" s="1" t="s">
        <v>1</v>
      </c>
      <c r="F3" s="1" t="s">
        <v>110</v>
      </c>
      <c r="G3" s="1" t="s">
        <v>111</v>
      </c>
      <c r="H3" s="1" t="s">
        <v>112</v>
      </c>
      <c r="I3" s="1" t="s">
        <v>113</v>
      </c>
      <c r="J3" s="1" t="s">
        <v>114</v>
      </c>
      <c r="K3" s="1" t="s">
        <v>115</v>
      </c>
      <c r="L3" s="1" t="s">
        <v>116</v>
      </c>
      <c r="M3" s="1" t="s">
        <v>4</v>
      </c>
      <c r="N3" s="1" t="s">
        <v>117</v>
      </c>
      <c r="O3" s="1" t="s">
        <v>118</v>
      </c>
      <c r="P3" s="1" t="s">
        <v>119</v>
      </c>
    </row>
    <row r="4" spans="1:16">
      <c r="A4" t="str">
        <f t="shared" ref="A4:A35" si="0">IF(B4="","","OPP-"&amp;TEXT(ROW()-3,"000"))</f>
        <v/>
      </c>
      <c r="F4" s="3"/>
      <c r="H4" s="4"/>
      <c r="K4" s="3"/>
      <c r="L4" s="3"/>
      <c r="N4" s="2"/>
      <c r="O4" t="str">
        <f>IFERROR(F4-INDEX('Lead Tracker'!$O$5:$O$304,MATCH(D4,'Lead Tracker'!$F$5:$F$304,0)),"")</f>
        <v/>
      </c>
      <c r="P4" t="str">
        <f t="shared" ref="P4:P35" si="1">IF(OR(F4="",L4=""),"",L4-F4)</f>
        <v/>
      </c>
    </row>
    <row r="5" spans="1:16">
      <c r="A5" t="str">
        <f t="shared" si="0"/>
        <v/>
      </c>
      <c r="F5" s="3"/>
      <c r="H5" s="4"/>
      <c r="K5" s="3"/>
      <c r="L5" s="3"/>
      <c r="N5" s="2"/>
      <c r="O5" t="str">
        <f>IFERROR(F5-INDEX('Lead Tracker'!$O$5:$O$304,MATCH(D5,'Lead Tracker'!$F$5:$F$304,0)),"")</f>
        <v/>
      </c>
      <c r="P5" t="str">
        <f t="shared" si="1"/>
        <v/>
      </c>
    </row>
    <row r="6" spans="1:16">
      <c r="A6" t="str">
        <f t="shared" si="0"/>
        <v/>
      </c>
      <c r="F6" s="3"/>
      <c r="H6" s="4"/>
      <c r="K6" s="3"/>
      <c r="L6" s="3"/>
      <c r="N6" s="2"/>
      <c r="O6" t="str">
        <f>IFERROR(F6-INDEX('Lead Tracker'!$O$5:$O$304,MATCH(D6,'Lead Tracker'!$F$5:$F$304,0)),"")</f>
        <v/>
      </c>
      <c r="P6" t="str">
        <f t="shared" si="1"/>
        <v/>
      </c>
    </row>
    <row r="7" spans="1:16">
      <c r="A7" t="str">
        <f t="shared" si="0"/>
        <v/>
      </c>
      <c r="F7" s="3"/>
      <c r="H7" s="4"/>
      <c r="K7" s="3"/>
      <c r="L7" s="3"/>
      <c r="N7" s="2"/>
      <c r="O7" t="str">
        <f>IFERROR(F7-INDEX('Lead Tracker'!$O$5:$O$304,MATCH(D7,'Lead Tracker'!$F$5:$F$304,0)),"")</f>
        <v/>
      </c>
      <c r="P7" t="str">
        <f t="shared" si="1"/>
        <v/>
      </c>
    </row>
    <row r="8" spans="1:16">
      <c r="A8" t="str">
        <f t="shared" si="0"/>
        <v/>
      </c>
      <c r="F8" s="3"/>
      <c r="H8" s="4"/>
      <c r="K8" s="3"/>
      <c r="L8" s="3"/>
      <c r="N8" s="2"/>
      <c r="O8" t="str">
        <f>IFERROR(F8-INDEX('Lead Tracker'!$O$5:$O$304,MATCH(D8,'Lead Tracker'!$F$5:$F$304,0)),"")</f>
        <v/>
      </c>
      <c r="P8" t="str">
        <f t="shared" si="1"/>
        <v/>
      </c>
    </row>
    <row r="9" spans="1:16">
      <c r="A9" t="str">
        <f t="shared" si="0"/>
        <v/>
      </c>
      <c r="F9" s="3"/>
      <c r="H9" s="4"/>
      <c r="K9" s="3"/>
      <c r="L9" s="3"/>
      <c r="N9" s="2"/>
      <c r="O9" t="str">
        <f>IFERROR(F9-INDEX('Lead Tracker'!$O$5:$O$304,MATCH(D9,'Lead Tracker'!$F$5:$F$304,0)),"")</f>
        <v/>
      </c>
      <c r="P9" t="str">
        <f t="shared" si="1"/>
        <v/>
      </c>
    </row>
    <row r="10" spans="1:16">
      <c r="A10" t="str">
        <f t="shared" si="0"/>
        <v/>
      </c>
      <c r="F10" s="3"/>
      <c r="H10" s="4"/>
      <c r="K10" s="3"/>
      <c r="L10" s="3"/>
      <c r="N10" s="2"/>
      <c r="O10" t="str">
        <f>IFERROR(F10-INDEX('Lead Tracker'!$O$5:$O$304,MATCH(D10,'Lead Tracker'!$F$5:$F$304,0)),"")</f>
        <v/>
      </c>
      <c r="P10" t="str">
        <f t="shared" si="1"/>
        <v/>
      </c>
    </row>
    <row r="11" spans="1:16">
      <c r="A11" t="str">
        <f t="shared" si="0"/>
        <v/>
      </c>
      <c r="F11" s="3"/>
      <c r="H11" s="4"/>
      <c r="K11" s="3"/>
      <c r="L11" s="3"/>
      <c r="N11" s="2"/>
      <c r="O11" t="str">
        <f>IFERROR(F11-INDEX('Lead Tracker'!$O$5:$O$304,MATCH(D11,'Lead Tracker'!$F$5:$F$304,0)),"")</f>
        <v/>
      </c>
      <c r="P11" t="str">
        <f t="shared" si="1"/>
        <v/>
      </c>
    </row>
    <row r="12" spans="1:16">
      <c r="A12" t="str">
        <f t="shared" si="0"/>
        <v/>
      </c>
      <c r="F12" s="3"/>
      <c r="H12" s="4"/>
      <c r="K12" s="3"/>
      <c r="L12" s="3"/>
      <c r="N12" s="2"/>
      <c r="O12" t="str">
        <f>IFERROR(F12-INDEX('Lead Tracker'!$O$5:$O$304,MATCH(D12,'Lead Tracker'!$F$5:$F$304,0)),"")</f>
        <v/>
      </c>
      <c r="P12" t="str">
        <f t="shared" si="1"/>
        <v/>
      </c>
    </row>
    <row r="13" spans="1:16">
      <c r="A13" t="str">
        <f t="shared" si="0"/>
        <v/>
      </c>
      <c r="F13" s="3"/>
      <c r="H13" s="4"/>
      <c r="K13" s="3"/>
      <c r="L13" s="3"/>
      <c r="N13" s="2"/>
      <c r="O13" t="str">
        <f>IFERROR(F13-INDEX('Lead Tracker'!$O$5:$O$304,MATCH(D13,'Lead Tracker'!$F$5:$F$304,0)),"")</f>
        <v/>
      </c>
      <c r="P13" t="str">
        <f t="shared" si="1"/>
        <v/>
      </c>
    </row>
    <row r="14" spans="1:16">
      <c r="A14" t="str">
        <f t="shared" si="0"/>
        <v/>
      </c>
      <c r="F14" s="3"/>
      <c r="H14" s="4"/>
      <c r="K14" s="3"/>
      <c r="L14" s="3"/>
      <c r="N14" s="2"/>
      <c r="O14" t="str">
        <f>IFERROR(F14-INDEX('Lead Tracker'!$O$5:$O$304,MATCH(D14,'Lead Tracker'!$F$5:$F$304,0)),"")</f>
        <v/>
      </c>
      <c r="P14" t="str">
        <f t="shared" si="1"/>
        <v/>
      </c>
    </row>
    <row r="15" spans="1:16">
      <c r="A15" t="str">
        <f t="shared" si="0"/>
        <v/>
      </c>
      <c r="F15" s="3"/>
      <c r="H15" s="4"/>
      <c r="K15" s="3"/>
      <c r="L15" s="3"/>
      <c r="N15" s="2"/>
      <c r="O15" t="str">
        <f>IFERROR(F15-INDEX('Lead Tracker'!$O$5:$O$304,MATCH(D15,'Lead Tracker'!$F$5:$F$304,0)),"")</f>
        <v/>
      </c>
      <c r="P15" t="str">
        <f t="shared" si="1"/>
        <v/>
      </c>
    </row>
    <row r="16" spans="1:16">
      <c r="A16" t="str">
        <f t="shared" si="0"/>
        <v/>
      </c>
      <c r="F16" s="3"/>
      <c r="H16" s="4"/>
      <c r="K16" s="3"/>
      <c r="L16" s="3"/>
      <c r="N16" s="2"/>
      <c r="O16" t="str">
        <f>IFERROR(F16-INDEX('Lead Tracker'!$O$5:$O$304,MATCH(D16,'Lead Tracker'!$F$5:$F$304,0)),"")</f>
        <v/>
      </c>
      <c r="P16" t="str">
        <f t="shared" si="1"/>
        <v/>
      </c>
    </row>
    <row r="17" spans="1:16">
      <c r="A17" t="str">
        <f t="shared" si="0"/>
        <v/>
      </c>
      <c r="F17" s="3"/>
      <c r="H17" s="4"/>
      <c r="K17" s="3"/>
      <c r="L17" s="3"/>
      <c r="N17" s="2"/>
      <c r="O17" t="str">
        <f>IFERROR(F17-INDEX('Lead Tracker'!$O$5:$O$304,MATCH(D17,'Lead Tracker'!$F$5:$F$304,0)),"")</f>
        <v/>
      </c>
      <c r="P17" t="str">
        <f t="shared" si="1"/>
        <v/>
      </c>
    </row>
    <row r="18" spans="1:16">
      <c r="A18" t="str">
        <f t="shared" si="0"/>
        <v/>
      </c>
      <c r="F18" s="3"/>
      <c r="H18" s="4"/>
      <c r="K18" s="3"/>
      <c r="L18" s="3"/>
      <c r="N18" s="2"/>
      <c r="O18" t="str">
        <f>IFERROR(F18-INDEX('Lead Tracker'!$O$5:$O$304,MATCH(D18,'Lead Tracker'!$F$5:$F$304,0)),"")</f>
        <v/>
      </c>
      <c r="P18" t="str">
        <f t="shared" si="1"/>
        <v/>
      </c>
    </row>
    <row r="19" spans="1:16">
      <c r="A19" t="str">
        <f t="shared" si="0"/>
        <v/>
      </c>
      <c r="F19" s="3"/>
      <c r="H19" s="4"/>
      <c r="K19" s="3"/>
      <c r="L19" s="3"/>
      <c r="N19" s="2"/>
      <c r="O19" t="str">
        <f>IFERROR(F19-INDEX('Lead Tracker'!$O$5:$O$304,MATCH(D19,'Lead Tracker'!$F$5:$F$304,0)),"")</f>
        <v/>
      </c>
      <c r="P19" t="str">
        <f t="shared" si="1"/>
        <v/>
      </c>
    </row>
    <row r="20" spans="1:16">
      <c r="A20" t="str">
        <f t="shared" si="0"/>
        <v/>
      </c>
      <c r="F20" s="3"/>
      <c r="H20" s="4"/>
      <c r="K20" s="3"/>
      <c r="L20" s="3"/>
      <c r="N20" s="2"/>
      <c r="O20" t="str">
        <f>IFERROR(F20-INDEX('Lead Tracker'!$O$5:$O$304,MATCH(D20,'Lead Tracker'!$F$5:$F$304,0)),"")</f>
        <v/>
      </c>
      <c r="P20" t="str">
        <f t="shared" si="1"/>
        <v/>
      </c>
    </row>
    <row r="21" spans="1:16">
      <c r="A21" t="str">
        <f t="shared" si="0"/>
        <v/>
      </c>
      <c r="F21" s="3"/>
      <c r="H21" s="4"/>
      <c r="K21" s="3"/>
      <c r="L21" s="3"/>
      <c r="N21" s="2"/>
      <c r="O21" t="str">
        <f>IFERROR(F21-INDEX('Lead Tracker'!$O$5:$O$304,MATCH(D21,'Lead Tracker'!$F$5:$F$304,0)),"")</f>
        <v/>
      </c>
      <c r="P21" t="str">
        <f t="shared" si="1"/>
        <v/>
      </c>
    </row>
    <row r="22" spans="1:16">
      <c r="A22" t="str">
        <f t="shared" si="0"/>
        <v/>
      </c>
      <c r="F22" s="3"/>
      <c r="H22" s="4"/>
      <c r="K22" s="3"/>
      <c r="L22" s="3"/>
      <c r="N22" s="2"/>
      <c r="O22" t="str">
        <f>IFERROR(F22-INDEX('Lead Tracker'!$O$5:$O$304,MATCH(D22,'Lead Tracker'!$F$5:$F$304,0)),"")</f>
        <v/>
      </c>
      <c r="P22" t="str">
        <f t="shared" si="1"/>
        <v/>
      </c>
    </row>
    <row r="23" spans="1:16">
      <c r="A23" t="str">
        <f t="shared" si="0"/>
        <v/>
      </c>
      <c r="F23" s="3"/>
      <c r="H23" s="4"/>
      <c r="K23" s="3"/>
      <c r="L23" s="3"/>
      <c r="N23" s="2"/>
      <c r="O23" t="str">
        <f>IFERROR(F23-INDEX('Lead Tracker'!$O$5:$O$304,MATCH(D23,'Lead Tracker'!$F$5:$F$304,0)),"")</f>
        <v/>
      </c>
      <c r="P23" t="str">
        <f t="shared" si="1"/>
        <v/>
      </c>
    </row>
    <row r="24" spans="1:16">
      <c r="A24" t="str">
        <f t="shared" si="0"/>
        <v/>
      </c>
      <c r="F24" s="3"/>
      <c r="H24" s="4"/>
      <c r="K24" s="3"/>
      <c r="L24" s="3"/>
      <c r="N24" s="2"/>
      <c r="O24" t="str">
        <f>IFERROR(F24-INDEX('Lead Tracker'!$O$5:$O$304,MATCH(D24,'Lead Tracker'!$F$5:$F$304,0)),"")</f>
        <v/>
      </c>
      <c r="P24" t="str">
        <f t="shared" si="1"/>
        <v/>
      </c>
    </row>
    <row r="25" spans="1:16">
      <c r="A25" t="str">
        <f t="shared" si="0"/>
        <v/>
      </c>
      <c r="F25" s="3"/>
      <c r="H25" s="4"/>
      <c r="K25" s="3"/>
      <c r="L25" s="3"/>
      <c r="N25" s="2"/>
      <c r="O25" t="str">
        <f>IFERROR(F25-INDEX('Lead Tracker'!$O$5:$O$304,MATCH(D25,'Lead Tracker'!$F$5:$F$304,0)),"")</f>
        <v/>
      </c>
      <c r="P25" t="str">
        <f t="shared" si="1"/>
        <v/>
      </c>
    </row>
    <row r="26" spans="1:16">
      <c r="A26" t="str">
        <f t="shared" si="0"/>
        <v/>
      </c>
      <c r="F26" s="3"/>
      <c r="H26" s="4"/>
      <c r="K26" s="3"/>
      <c r="L26" s="3"/>
      <c r="N26" s="2"/>
      <c r="O26" t="str">
        <f>IFERROR(F26-INDEX('Lead Tracker'!$O$5:$O$304,MATCH(D26,'Lead Tracker'!$F$5:$F$304,0)),"")</f>
        <v/>
      </c>
      <c r="P26" t="str">
        <f t="shared" si="1"/>
        <v/>
      </c>
    </row>
    <row r="27" spans="1:16">
      <c r="A27" t="str">
        <f t="shared" si="0"/>
        <v/>
      </c>
      <c r="F27" s="3"/>
      <c r="H27" s="4"/>
      <c r="K27" s="3"/>
      <c r="L27" s="3"/>
      <c r="N27" s="2"/>
      <c r="O27" t="str">
        <f>IFERROR(F27-INDEX('Lead Tracker'!$O$5:$O$304,MATCH(D27,'Lead Tracker'!$F$5:$F$304,0)),"")</f>
        <v/>
      </c>
      <c r="P27" t="str">
        <f t="shared" si="1"/>
        <v/>
      </c>
    </row>
    <row r="28" spans="1:16">
      <c r="A28" t="str">
        <f t="shared" si="0"/>
        <v/>
      </c>
      <c r="F28" s="3"/>
      <c r="H28" s="4"/>
      <c r="K28" s="3"/>
      <c r="L28" s="3"/>
      <c r="N28" s="2"/>
      <c r="O28" t="str">
        <f>IFERROR(F28-INDEX('Lead Tracker'!$O$5:$O$304,MATCH(D28,'Lead Tracker'!$F$5:$F$304,0)),"")</f>
        <v/>
      </c>
      <c r="P28" t="str">
        <f t="shared" si="1"/>
        <v/>
      </c>
    </row>
    <row r="29" spans="1:16">
      <c r="A29" t="str">
        <f t="shared" si="0"/>
        <v/>
      </c>
      <c r="F29" s="3"/>
      <c r="H29" s="4"/>
      <c r="K29" s="3"/>
      <c r="L29" s="3"/>
      <c r="N29" s="2"/>
      <c r="O29" t="str">
        <f>IFERROR(F29-INDEX('Lead Tracker'!$O$5:$O$304,MATCH(D29,'Lead Tracker'!$F$5:$F$304,0)),"")</f>
        <v/>
      </c>
      <c r="P29" t="str">
        <f t="shared" si="1"/>
        <v/>
      </c>
    </row>
    <row r="30" spans="1:16">
      <c r="A30" t="str">
        <f t="shared" si="0"/>
        <v/>
      </c>
      <c r="F30" s="3"/>
      <c r="H30" s="4"/>
      <c r="K30" s="3"/>
      <c r="L30" s="3"/>
      <c r="N30" s="2"/>
      <c r="O30" t="str">
        <f>IFERROR(F30-INDEX('Lead Tracker'!$O$5:$O$304,MATCH(D30,'Lead Tracker'!$F$5:$F$304,0)),"")</f>
        <v/>
      </c>
      <c r="P30" t="str">
        <f t="shared" si="1"/>
        <v/>
      </c>
    </row>
    <row r="31" spans="1:16">
      <c r="A31" t="str">
        <f t="shared" si="0"/>
        <v/>
      </c>
      <c r="F31" s="3"/>
      <c r="H31" s="4"/>
      <c r="K31" s="3"/>
      <c r="L31" s="3"/>
      <c r="N31" s="2"/>
      <c r="O31" t="str">
        <f>IFERROR(F31-INDEX('Lead Tracker'!$O$5:$O$304,MATCH(D31,'Lead Tracker'!$F$5:$F$304,0)),"")</f>
        <v/>
      </c>
      <c r="P31" t="str">
        <f t="shared" si="1"/>
        <v/>
      </c>
    </row>
    <row r="32" spans="1:16">
      <c r="A32" t="str">
        <f t="shared" si="0"/>
        <v/>
      </c>
      <c r="F32" s="3"/>
      <c r="H32" s="4"/>
      <c r="K32" s="3"/>
      <c r="L32" s="3"/>
      <c r="N32" s="2"/>
      <c r="O32" t="str">
        <f>IFERROR(F32-INDEX('Lead Tracker'!$O$5:$O$304,MATCH(D32,'Lead Tracker'!$F$5:$F$304,0)),"")</f>
        <v/>
      </c>
      <c r="P32" t="str">
        <f t="shared" si="1"/>
        <v/>
      </c>
    </row>
    <row r="33" spans="1:16">
      <c r="A33" t="str">
        <f t="shared" si="0"/>
        <v/>
      </c>
      <c r="F33" s="3"/>
      <c r="H33" s="4"/>
      <c r="K33" s="3"/>
      <c r="L33" s="3"/>
      <c r="N33" s="2"/>
      <c r="O33" t="str">
        <f>IFERROR(F33-INDEX('Lead Tracker'!$O$5:$O$304,MATCH(D33,'Lead Tracker'!$F$5:$F$304,0)),"")</f>
        <v/>
      </c>
      <c r="P33" t="str">
        <f t="shared" si="1"/>
        <v/>
      </c>
    </row>
    <row r="34" spans="1:16">
      <c r="A34" t="str">
        <f t="shared" si="0"/>
        <v/>
      </c>
      <c r="F34" s="3"/>
      <c r="H34" s="4"/>
      <c r="K34" s="3"/>
      <c r="L34" s="3"/>
      <c r="N34" s="2"/>
      <c r="O34" t="str">
        <f>IFERROR(F34-INDEX('Lead Tracker'!$O$5:$O$304,MATCH(D34,'Lead Tracker'!$F$5:$F$304,0)),"")</f>
        <v/>
      </c>
      <c r="P34" t="str">
        <f t="shared" si="1"/>
        <v/>
      </c>
    </row>
    <row r="35" spans="1:16">
      <c r="A35" t="str">
        <f t="shared" si="0"/>
        <v/>
      </c>
      <c r="F35" s="3"/>
      <c r="H35" s="4"/>
      <c r="K35" s="3"/>
      <c r="L35" s="3"/>
      <c r="N35" s="2"/>
      <c r="O35" t="str">
        <f>IFERROR(F35-INDEX('Lead Tracker'!$O$5:$O$304,MATCH(D35,'Lead Tracker'!$F$5:$F$304,0)),"")</f>
        <v/>
      </c>
      <c r="P35" t="str">
        <f t="shared" si="1"/>
        <v/>
      </c>
    </row>
    <row r="36" spans="1:16">
      <c r="A36" t="str">
        <f t="shared" ref="A36:A67" si="2">IF(B36="","","OPP-"&amp;TEXT(ROW()-3,"000"))</f>
        <v/>
      </c>
      <c r="F36" s="3"/>
      <c r="H36" s="4"/>
      <c r="K36" s="3"/>
      <c r="L36" s="3"/>
      <c r="N36" s="2"/>
      <c r="O36" t="str">
        <f>IFERROR(F36-INDEX('Lead Tracker'!$O$5:$O$304,MATCH(D36,'Lead Tracker'!$F$5:$F$304,0)),"")</f>
        <v/>
      </c>
      <c r="P36" t="str">
        <f t="shared" ref="P36:P67" si="3">IF(OR(F36="",L36=""),"",L36-F36)</f>
        <v/>
      </c>
    </row>
    <row r="37" spans="1:16">
      <c r="A37" t="str">
        <f t="shared" si="2"/>
        <v/>
      </c>
      <c r="F37" s="3"/>
      <c r="H37" s="4"/>
      <c r="K37" s="3"/>
      <c r="L37" s="3"/>
      <c r="N37" s="2"/>
      <c r="O37" t="str">
        <f>IFERROR(F37-INDEX('Lead Tracker'!$O$5:$O$304,MATCH(D37,'Lead Tracker'!$F$5:$F$304,0)),"")</f>
        <v/>
      </c>
      <c r="P37" t="str">
        <f t="shared" si="3"/>
        <v/>
      </c>
    </row>
    <row r="38" spans="1:16">
      <c r="A38" t="str">
        <f t="shared" si="2"/>
        <v/>
      </c>
      <c r="F38" s="3"/>
      <c r="H38" s="4"/>
      <c r="K38" s="3"/>
      <c r="L38" s="3"/>
      <c r="N38" s="2"/>
      <c r="O38" t="str">
        <f>IFERROR(F38-INDEX('Lead Tracker'!$O$5:$O$304,MATCH(D38,'Lead Tracker'!$F$5:$F$304,0)),"")</f>
        <v/>
      </c>
      <c r="P38" t="str">
        <f t="shared" si="3"/>
        <v/>
      </c>
    </row>
    <row r="39" spans="1:16">
      <c r="A39" t="str">
        <f t="shared" si="2"/>
        <v/>
      </c>
      <c r="F39" s="3"/>
      <c r="H39" s="4"/>
      <c r="K39" s="3"/>
      <c r="L39" s="3"/>
      <c r="N39" s="2"/>
      <c r="O39" t="str">
        <f>IFERROR(F39-INDEX('Lead Tracker'!$O$5:$O$304,MATCH(D39,'Lead Tracker'!$F$5:$F$304,0)),"")</f>
        <v/>
      </c>
      <c r="P39" t="str">
        <f t="shared" si="3"/>
        <v/>
      </c>
    </row>
    <row r="40" spans="1:16">
      <c r="A40" t="str">
        <f t="shared" si="2"/>
        <v/>
      </c>
      <c r="F40" s="3"/>
      <c r="H40" s="4"/>
      <c r="K40" s="3"/>
      <c r="L40" s="3"/>
      <c r="N40" s="2"/>
      <c r="O40" t="str">
        <f>IFERROR(F40-INDEX('Lead Tracker'!$O$5:$O$304,MATCH(D40,'Lead Tracker'!$F$5:$F$304,0)),"")</f>
        <v/>
      </c>
      <c r="P40" t="str">
        <f t="shared" si="3"/>
        <v/>
      </c>
    </row>
    <row r="41" spans="1:16">
      <c r="A41" t="str">
        <f t="shared" si="2"/>
        <v/>
      </c>
      <c r="F41" s="3"/>
      <c r="H41" s="4"/>
      <c r="K41" s="3"/>
      <c r="L41" s="3"/>
      <c r="N41" s="2"/>
      <c r="O41" t="str">
        <f>IFERROR(F41-INDEX('Lead Tracker'!$O$5:$O$304,MATCH(D41,'Lead Tracker'!$F$5:$F$304,0)),"")</f>
        <v/>
      </c>
      <c r="P41" t="str">
        <f t="shared" si="3"/>
        <v/>
      </c>
    </row>
    <row r="42" spans="1:16">
      <c r="A42" t="str">
        <f t="shared" si="2"/>
        <v/>
      </c>
      <c r="F42" s="3"/>
      <c r="H42" s="4"/>
      <c r="K42" s="3"/>
      <c r="L42" s="3"/>
      <c r="N42" s="2"/>
      <c r="O42" t="str">
        <f>IFERROR(F42-INDEX('Lead Tracker'!$O$5:$O$304,MATCH(D42,'Lead Tracker'!$F$5:$F$304,0)),"")</f>
        <v/>
      </c>
      <c r="P42" t="str">
        <f t="shared" si="3"/>
        <v/>
      </c>
    </row>
    <row r="43" spans="1:16">
      <c r="A43" t="str">
        <f t="shared" si="2"/>
        <v/>
      </c>
      <c r="F43" s="3"/>
      <c r="H43" s="4"/>
      <c r="K43" s="3"/>
      <c r="L43" s="3"/>
      <c r="N43" s="2"/>
      <c r="O43" t="str">
        <f>IFERROR(F43-INDEX('Lead Tracker'!$O$5:$O$304,MATCH(D43,'Lead Tracker'!$F$5:$F$304,0)),"")</f>
        <v/>
      </c>
      <c r="P43" t="str">
        <f t="shared" si="3"/>
        <v/>
      </c>
    </row>
    <row r="44" spans="1:16">
      <c r="A44" t="str">
        <f t="shared" si="2"/>
        <v/>
      </c>
      <c r="F44" s="3"/>
      <c r="H44" s="4"/>
      <c r="K44" s="3"/>
      <c r="L44" s="3"/>
      <c r="N44" s="2"/>
      <c r="O44" t="str">
        <f>IFERROR(F44-INDEX('Lead Tracker'!$O$5:$O$304,MATCH(D44,'Lead Tracker'!$F$5:$F$304,0)),"")</f>
        <v/>
      </c>
      <c r="P44" t="str">
        <f t="shared" si="3"/>
        <v/>
      </c>
    </row>
    <row r="45" spans="1:16">
      <c r="A45" t="str">
        <f t="shared" si="2"/>
        <v/>
      </c>
      <c r="F45" s="3"/>
      <c r="H45" s="4"/>
      <c r="K45" s="3"/>
      <c r="L45" s="3"/>
      <c r="N45" s="2"/>
      <c r="O45" t="str">
        <f>IFERROR(F45-INDEX('Lead Tracker'!$O$5:$O$304,MATCH(D45,'Lead Tracker'!$F$5:$F$304,0)),"")</f>
        <v/>
      </c>
      <c r="P45" t="str">
        <f t="shared" si="3"/>
        <v/>
      </c>
    </row>
    <row r="46" spans="1:16">
      <c r="A46" t="str">
        <f t="shared" si="2"/>
        <v/>
      </c>
      <c r="F46" s="3"/>
      <c r="H46" s="4"/>
      <c r="K46" s="3"/>
      <c r="L46" s="3"/>
      <c r="N46" s="2"/>
      <c r="O46" t="str">
        <f>IFERROR(F46-INDEX('Lead Tracker'!$O$5:$O$304,MATCH(D46,'Lead Tracker'!$F$5:$F$304,0)),"")</f>
        <v/>
      </c>
      <c r="P46" t="str">
        <f t="shared" si="3"/>
        <v/>
      </c>
    </row>
    <row r="47" spans="1:16">
      <c r="A47" t="str">
        <f t="shared" si="2"/>
        <v/>
      </c>
      <c r="F47" s="3"/>
      <c r="H47" s="4"/>
      <c r="K47" s="3"/>
      <c r="L47" s="3"/>
      <c r="N47" s="2"/>
      <c r="O47" t="str">
        <f>IFERROR(F47-INDEX('Lead Tracker'!$O$5:$O$304,MATCH(D47,'Lead Tracker'!$F$5:$F$304,0)),"")</f>
        <v/>
      </c>
      <c r="P47" t="str">
        <f t="shared" si="3"/>
        <v/>
      </c>
    </row>
    <row r="48" spans="1:16">
      <c r="A48" t="str">
        <f t="shared" si="2"/>
        <v/>
      </c>
      <c r="F48" s="3"/>
      <c r="H48" s="4"/>
      <c r="K48" s="3"/>
      <c r="L48" s="3"/>
      <c r="N48" s="2"/>
      <c r="O48" t="str">
        <f>IFERROR(F48-INDEX('Lead Tracker'!$O$5:$O$304,MATCH(D48,'Lead Tracker'!$F$5:$F$304,0)),"")</f>
        <v/>
      </c>
      <c r="P48" t="str">
        <f t="shared" si="3"/>
        <v/>
      </c>
    </row>
    <row r="49" spans="1:16">
      <c r="A49" t="str">
        <f t="shared" si="2"/>
        <v/>
      </c>
      <c r="F49" s="3"/>
      <c r="H49" s="4"/>
      <c r="K49" s="3"/>
      <c r="L49" s="3"/>
      <c r="N49" s="2"/>
      <c r="O49" t="str">
        <f>IFERROR(F49-INDEX('Lead Tracker'!$O$5:$O$304,MATCH(D49,'Lead Tracker'!$F$5:$F$304,0)),"")</f>
        <v/>
      </c>
      <c r="P49" t="str">
        <f t="shared" si="3"/>
        <v/>
      </c>
    </row>
    <row r="50" spans="1:16">
      <c r="A50" t="str">
        <f t="shared" si="2"/>
        <v/>
      </c>
      <c r="F50" s="3"/>
      <c r="H50" s="4"/>
      <c r="K50" s="3"/>
      <c r="L50" s="3"/>
      <c r="N50" s="2"/>
      <c r="O50" t="str">
        <f>IFERROR(F50-INDEX('Lead Tracker'!$O$5:$O$304,MATCH(D50,'Lead Tracker'!$F$5:$F$304,0)),"")</f>
        <v/>
      </c>
      <c r="P50" t="str">
        <f t="shared" si="3"/>
        <v/>
      </c>
    </row>
    <row r="51" spans="1:16">
      <c r="A51" t="str">
        <f t="shared" si="2"/>
        <v/>
      </c>
      <c r="F51" s="3"/>
      <c r="H51" s="4"/>
      <c r="K51" s="3"/>
      <c r="L51" s="3"/>
      <c r="N51" s="2"/>
      <c r="O51" t="str">
        <f>IFERROR(F51-INDEX('Lead Tracker'!$O$5:$O$304,MATCH(D51,'Lead Tracker'!$F$5:$F$304,0)),"")</f>
        <v/>
      </c>
      <c r="P51" t="str">
        <f t="shared" si="3"/>
        <v/>
      </c>
    </row>
    <row r="52" spans="1:16">
      <c r="A52" t="str">
        <f t="shared" si="2"/>
        <v/>
      </c>
      <c r="F52" s="3"/>
      <c r="H52" s="4"/>
      <c r="K52" s="3"/>
      <c r="L52" s="3"/>
      <c r="N52" s="2"/>
      <c r="O52" t="str">
        <f>IFERROR(F52-INDEX('Lead Tracker'!$O$5:$O$304,MATCH(D52,'Lead Tracker'!$F$5:$F$304,0)),"")</f>
        <v/>
      </c>
      <c r="P52" t="str">
        <f t="shared" si="3"/>
        <v/>
      </c>
    </row>
    <row r="53" spans="1:16">
      <c r="A53" t="str">
        <f t="shared" si="2"/>
        <v/>
      </c>
      <c r="F53" s="3"/>
      <c r="H53" s="4"/>
      <c r="K53" s="3"/>
      <c r="L53" s="3"/>
      <c r="N53" s="2"/>
      <c r="O53" t="str">
        <f>IFERROR(F53-INDEX('Lead Tracker'!$O$5:$O$304,MATCH(D53,'Lead Tracker'!$F$5:$F$304,0)),"")</f>
        <v/>
      </c>
      <c r="P53" t="str">
        <f t="shared" si="3"/>
        <v/>
      </c>
    </row>
    <row r="54" spans="1:16">
      <c r="A54" t="str">
        <f t="shared" si="2"/>
        <v/>
      </c>
      <c r="F54" s="3"/>
      <c r="H54" s="4"/>
      <c r="K54" s="3"/>
      <c r="L54" s="3"/>
      <c r="N54" s="2"/>
      <c r="O54" t="str">
        <f>IFERROR(F54-INDEX('Lead Tracker'!$O$5:$O$304,MATCH(D54,'Lead Tracker'!$F$5:$F$304,0)),"")</f>
        <v/>
      </c>
      <c r="P54" t="str">
        <f t="shared" si="3"/>
        <v/>
      </c>
    </row>
    <row r="55" spans="1:16">
      <c r="A55" t="str">
        <f t="shared" si="2"/>
        <v/>
      </c>
      <c r="F55" s="3"/>
      <c r="H55" s="4"/>
      <c r="K55" s="3"/>
      <c r="L55" s="3"/>
      <c r="N55" s="2"/>
      <c r="O55" t="str">
        <f>IFERROR(F55-INDEX('Lead Tracker'!$O$5:$O$304,MATCH(D55,'Lead Tracker'!$F$5:$F$304,0)),"")</f>
        <v/>
      </c>
      <c r="P55" t="str">
        <f t="shared" si="3"/>
        <v/>
      </c>
    </row>
    <row r="56" spans="1:16">
      <c r="A56" t="str">
        <f t="shared" si="2"/>
        <v/>
      </c>
      <c r="F56" s="3"/>
      <c r="H56" s="4"/>
      <c r="K56" s="3"/>
      <c r="L56" s="3"/>
      <c r="N56" s="2"/>
      <c r="O56" t="str">
        <f>IFERROR(F56-INDEX('Lead Tracker'!$O$5:$O$304,MATCH(D56,'Lead Tracker'!$F$5:$F$304,0)),"")</f>
        <v/>
      </c>
      <c r="P56" t="str">
        <f t="shared" si="3"/>
        <v/>
      </c>
    </row>
    <row r="57" spans="1:16">
      <c r="A57" t="str">
        <f t="shared" si="2"/>
        <v/>
      </c>
      <c r="F57" s="3"/>
      <c r="H57" s="4"/>
      <c r="K57" s="3"/>
      <c r="L57" s="3"/>
      <c r="N57" s="2"/>
      <c r="O57" t="str">
        <f>IFERROR(F57-INDEX('Lead Tracker'!$O$5:$O$304,MATCH(D57,'Lead Tracker'!$F$5:$F$304,0)),"")</f>
        <v/>
      </c>
      <c r="P57" t="str">
        <f t="shared" si="3"/>
        <v/>
      </c>
    </row>
    <row r="58" spans="1:16">
      <c r="A58" t="str">
        <f t="shared" si="2"/>
        <v/>
      </c>
      <c r="F58" s="3"/>
      <c r="H58" s="4"/>
      <c r="K58" s="3"/>
      <c r="L58" s="3"/>
      <c r="N58" s="2"/>
      <c r="O58" t="str">
        <f>IFERROR(F58-INDEX('Lead Tracker'!$O$5:$O$304,MATCH(D58,'Lead Tracker'!$F$5:$F$304,0)),"")</f>
        <v/>
      </c>
      <c r="P58" t="str">
        <f t="shared" si="3"/>
        <v/>
      </c>
    </row>
    <row r="59" spans="1:16">
      <c r="A59" t="str">
        <f t="shared" si="2"/>
        <v/>
      </c>
      <c r="F59" s="3"/>
      <c r="H59" s="4"/>
      <c r="K59" s="3"/>
      <c r="L59" s="3"/>
      <c r="N59" s="2"/>
      <c r="O59" t="str">
        <f>IFERROR(F59-INDEX('Lead Tracker'!$O$5:$O$304,MATCH(D59,'Lead Tracker'!$F$5:$F$304,0)),"")</f>
        <v/>
      </c>
      <c r="P59" t="str">
        <f t="shared" si="3"/>
        <v/>
      </c>
    </row>
    <row r="60" spans="1:16">
      <c r="A60" t="str">
        <f t="shared" si="2"/>
        <v/>
      </c>
      <c r="F60" s="3"/>
      <c r="H60" s="4"/>
      <c r="K60" s="3"/>
      <c r="L60" s="3"/>
      <c r="N60" s="2"/>
      <c r="O60" t="str">
        <f>IFERROR(F60-INDEX('Lead Tracker'!$O$5:$O$304,MATCH(D60,'Lead Tracker'!$F$5:$F$304,0)),"")</f>
        <v/>
      </c>
      <c r="P60" t="str">
        <f t="shared" si="3"/>
        <v/>
      </c>
    </row>
    <row r="61" spans="1:16">
      <c r="A61" t="str">
        <f t="shared" si="2"/>
        <v/>
      </c>
      <c r="F61" s="3"/>
      <c r="H61" s="4"/>
      <c r="K61" s="3"/>
      <c r="L61" s="3"/>
      <c r="N61" s="2"/>
      <c r="O61" t="str">
        <f>IFERROR(F61-INDEX('Lead Tracker'!$O$5:$O$304,MATCH(D61,'Lead Tracker'!$F$5:$F$304,0)),"")</f>
        <v/>
      </c>
      <c r="P61" t="str">
        <f t="shared" si="3"/>
        <v/>
      </c>
    </row>
    <row r="62" spans="1:16">
      <c r="A62" t="str">
        <f t="shared" si="2"/>
        <v/>
      </c>
      <c r="F62" s="3"/>
      <c r="H62" s="4"/>
      <c r="K62" s="3"/>
      <c r="L62" s="3"/>
      <c r="N62" s="2"/>
      <c r="O62" t="str">
        <f>IFERROR(F62-INDEX('Lead Tracker'!$O$5:$O$304,MATCH(D62,'Lead Tracker'!$F$5:$F$304,0)),"")</f>
        <v/>
      </c>
      <c r="P62" t="str">
        <f t="shared" si="3"/>
        <v/>
      </c>
    </row>
    <row r="63" spans="1:16">
      <c r="A63" t="str">
        <f t="shared" si="2"/>
        <v/>
      </c>
      <c r="F63" s="3"/>
      <c r="H63" s="4"/>
      <c r="K63" s="3"/>
      <c r="L63" s="3"/>
      <c r="N63" s="2"/>
      <c r="O63" t="str">
        <f>IFERROR(F63-INDEX('Lead Tracker'!$O$5:$O$304,MATCH(D63,'Lead Tracker'!$F$5:$F$304,0)),"")</f>
        <v/>
      </c>
      <c r="P63" t="str">
        <f t="shared" si="3"/>
        <v/>
      </c>
    </row>
    <row r="64" spans="1:16">
      <c r="A64" t="str">
        <f t="shared" si="2"/>
        <v/>
      </c>
      <c r="F64" s="3"/>
      <c r="H64" s="4"/>
      <c r="K64" s="3"/>
      <c r="L64" s="3"/>
      <c r="N64" s="2"/>
      <c r="O64" t="str">
        <f>IFERROR(F64-INDEX('Lead Tracker'!$O$5:$O$304,MATCH(D64,'Lead Tracker'!$F$5:$F$304,0)),"")</f>
        <v/>
      </c>
      <c r="P64" t="str">
        <f t="shared" si="3"/>
        <v/>
      </c>
    </row>
    <row r="65" spans="1:16">
      <c r="A65" t="str">
        <f t="shared" si="2"/>
        <v/>
      </c>
      <c r="F65" s="3"/>
      <c r="H65" s="4"/>
      <c r="K65" s="3"/>
      <c r="L65" s="3"/>
      <c r="N65" s="2"/>
      <c r="O65" t="str">
        <f>IFERROR(F65-INDEX('Lead Tracker'!$O$5:$O$304,MATCH(D65,'Lead Tracker'!$F$5:$F$304,0)),"")</f>
        <v/>
      </c>
      <c r="P65" t="str">
        <f t="shared" si="3"/>
        <v/>
      </c>
    </row>
    <row r="66" spans="1:16">
      <c r="A66" t="str">
        <f t="shared" si="2"/>
        <v/>
      </c>
      <c r="F66" s="3"/>
      <c r="H66" s="4"/>
      <c r="K66" s="3"/>
      <c r="L66" s="3"/>
      <c r="N66" s="2"/>
      <c r="O66" t="str">
        <f>IFERROR(F66-INDEX('Lead Tracker'!$O$5:$O$304,MATCH(D66,'Lead Tracker'!$F$5:$F$304,0)),"")</f>
        <v/>
      </c>
      <c r="P66" t="str">
        <f t="shared" si="3"/>
        <v/>
      </c>
    </row>
    <row r="67" spans="1:16">
      <c r="A67" t="str">
        <f t="shared" si="2"/>
        <v/>
      </c>
      <c r="F67" s="3"/>
      <c r="H67" s="4"/>
      <c r="K67" s="3"/>
      <c r="L67" s="3"/>
      <c r="N67" s="2"/>
      <c r="O67" t="str">
        <f>IFERROR(F67-INDEX('Lead Tracker'!$O$5:$O$304,MATCH(D67,'Lead Tracker'!$F$5:$F$304,0)),"")</f>
        <v/>
      </c>
      <c r="P67" t="str">
        <f t="shared" si="3"/>
        <v/>
      </c>
    </row>
    <row r="68" spans="1:16">
      <c r="A68" t="str">
        <f t="shared" ref="A68:A99" si="4">IF(B68="","","OPP-"&amp;TEXT(ROW()-3,"000"))</f>
        <v/>
      </c>
      <c r="F68" s="3"/>
      <c r="H68" s="4"/>
      <c r="K68" s="3"/>
      <c r="L68" s="3"/>
      <c r="N68" s="2"/>
      <c r="O68" t="str">
        <f>IFERROR(F68-INDEX('Lead Tracker'!$O$5:$O$304,MATCH(D68,'Lead Tracker'!$F$5:$F$304,0)),"")</f>
        <v/>
      </c>
      <c r="P68" t="str">
        <f t="shared" ref="P68:P99" si="5">IF(OR(F68="",L68=""),"",L68-F68)</f>
        <v/>
      </c>
    </row>
    <row r="69" spans="1:16">
      <c r="A69" t="str">
        <f t="shared" si="4"/>
        <v/>
      </c>
      <c r="F69" s="3"/>
      <c r="H69" s="4"/>
      <c r="K69" s="3"/>
      <c r="L69" s="3"/>
      <c r="N69" s="2"/>
      <c r="O69" t="str">
        <f>IFERROR(F69-INDEX('Lead Tracker'!$O$5:$O$304,MATCH(D69,'Lead Tracker'!$F$5:$F$304,0)),"")</f>
        <v/>
      </c>
      <c r="P69" t="str">
        <f t="shared" si="5"/>
        <v/>
      </c>
    </row>
    <row r="70" spans="1:16">
      <c r="A70" t="str">
        <f t="shared" si="4"/>
        <v/>
      </c>
      <c r="F70" s="3"/>
      <c r="H70" s="4"/>
      <c r="K70" s="3"/>
      <c r="L70" s="3"/>
      <c r="N70" s="2"/>
      <c r="O70" t="str">
        <f>IFERROR(F70-INDEX('Lead Tracker'!$O$5:$O$304,MATCH(D70,'Lead Tracker'!$F$5:$F$304,0)),"")</f>
        <v/>
      </c>
      <c r="P70" t="str">
        <f t="shared" si="5"/>
        <v/>
      </c>
    </row>
    <row r="71" spans="1:16">
      <c r="A71" t="str">
        <f t="shared" si="4"/>
        <v/>
      </c>
      <c r="F71" s="3"/>
      <c r="H71" s="4"/>
      <c r="K71" s="3"/>
      <c r="L71" s="3"/>
      <c r="N71" s="2"/>
      <c r="O71" t="str">
        <f>IFERROR(F71-INDEX('Lead Tracker'!$O$5:$O$304,MATCH(D71,'Lead Tracker'!$F$5:$F$304,0)),"")</f>
        <v/>
      </c>
      <c r="P71" t="str">
        <f t="shared" si="5"/>
        <v/>
      </c>
    </row>
    <row r="72" spans="1:16">
      <c r="A72" t="str">
        <f t="shared" si="4"/>
        <v/>
      </c>
      <c r="F72" s="3"/>
      <c r="H72" s="4"/>
      <c r="K72" s="3"/>
      <c r="L72" s="3"/>
      <c r="N72" s="2"/>
      <c r="O72" t="str">
        <f>IFERROR(F72-INDEX('Lead Tracker'!$O$5:$O$304,MATCH(D72,'Lead Tracker'!$F$5:$F$304,0)),"")</f>
        <v/>
      </c>
      <c r="P72" t="str">
        <f t="shared" si="5"/>
        <v/>
      </c>
    </row>
    <row r="73" spans="1:16">
      <c r="A73" t="str">
        <f t="shared" si="4"/>
        <v/>
      </c>
      <c r="F73" s="3"/>
      <c r="H73" s="4"/>
      <c r="K73" s="3"/>
      <c r="L73" s="3"/>
      <c r="N73" s="2"/>
      <c r="O73" t="str">
        <f>IFERROR(F73-INDEX('Lead Tracker'!$O$5:$O$304,MATCH(D73,'Lead Tracker'!$F$5:$F$304,0)),"")</f>
        <v/>
      </c>
      <c r="P73" t="str">
        <f t="shared" si="5"/>
        <v/>
      </c>
    </row>
    <row r="74" spans="1:16">
      <c r="A74" t="str">
        <f t="shared" si="4"/>
        <v/>
      </c>
      <c r="F74" s="3"/>
      <c r="H74" s="4"/>
      <c r="K74" s="3"/>
      <c r="L74" s="3"/>
      <c r="N74" s="2"/>
      <c r="O74" t="str">
        <f>IFERROR(F74-INDEX('Lead Tracker'!$O$5:$O$304,MATCH(D74,'Lead Tracker'!$F$5:$F$304,0)),"")</f>
        <v/>
      </c>
      <c r="P74" t="str">
        <f t="shared" si="5"/>
        <v/>
      </c>
    </row>
    <row r="75" spans="1:16">
      <c r="A75" t="str">
        <f t="shared" si="4"/>
        <v/>
      </c>
      <c r="F75" s="3"/>
      <c r="H75" s="4"/>
      <c r="K75" s="3"/>
      <c r="L75" s="3"/>
      <c r="N75" s="2"/>
      <c r="O75" t="str">
        <f>IFERROR(F75-INDEX('Lead Tracker'!$O$5:$O$304,MATCH(D75,'Lead Tracker'!$F$5:$F$304,0)),"")</f>
        <v/>
      </c>
      <c r="P75" t="str">
        <f t="shared" si="5"/>
        <v/>
      </c>
    </row>
    <row r="76" spans="1:16">
      <c r="A76" t="str">
        <f t="shared" si="4"/>
        <v/>
      </c>
      <c r="F76" s="3"/>
      <c r="H76" s="4"/>
      <c r="K76" s="3"/>
      <c r="L76" s="3"/>
      <c r="N76" s="2"/>
      <c r="O76" t="str">
        <f>IFERROR(F76-INDEX('Lead Tracker'!$O$5:$O$304,MATCH(D76,'Lead Tracker'!$F$5:$F$304,0)),"")</f>
        <v/>
      </c>
      <c r="P76" t="str">
        <f t="shared" si="5"/>
        <v/>
      </c>
    </row>
    <row r="77" spans="1:16">
      <c r="A77" t="str">
        <f t="shared" si="4"/>
        <v/>
      </c>
      <c r="F77" s="3"/>
      <c r="H77" s="4"/>
      <c r="K77" s="3"/>
      <c r="L77" s="3"/>
      <c r="N77" s="2"/>
      <c r="O77" t="str">
        <f>IFERROR(F77-INDEX('Lead Tracker'!$O$5:$O$304,MATCH(D77,'Lead Tracker'!$F$5:$F$304,0)),"")</f>
        <v/>
      </c>
      <c r="P77" t="str">
        <f t="shared" si="5"/>
        <v/>
      </c>
    </row>
    <row r="78" spans="1:16">
      <c r="A78" t="str">
        <f t="shared" si="4"/>
        <v/>
      </c>
      <c r="F78" s="3"/>
      <c r="H78" s="4"/>
      <c r="K78" s="3"/>
      <c r="L78" s="3"/>
      <c r="N78" s="2"/>
      <c r="O78" t="str">
        <f>IFERROR(F78-INDEX('Lead Tracker'!$O$5:$O$304,MATCH(D78,'Lead Tracker'!$F$5:$F$304,0)),"")</f>
        <v/>
      </c>
      <c r="P78" t="str">
        <f t="shared" si="5"/>
        <v/>
      </c>
    </row>
    <row r="79" spans="1:16">
      <c r="A79" t="str">
        <f t="shared" si="4"/>
        <v/>
      </c>
      <c r="F79" s="3"/>
      <c r="H79" s="4"/>
      <c r="K79" s="3"/>
      <c r="L79" s="3"/>
      <c r="N79" s="2"/>
      <c r="O79" t="str">
        <f>IFERROR(F79-INDEX('Lead Tracker'!$O$5:$O$304,MATCH(D79,'Lead Tracker'!$F$5:$F$304,0)),"")</f>
        <v/>
      </c>
      <c r="P79" t="str">
        <f t="shared" si="5"/>
        <v/>
      </c>
    </row>
    <row r="80" spans="1:16">
      <c r="A80" t="str">
        <f t="shared" si="4"/>
        <v/>
      </c>
      <c r="F80" s="3"/>
      <c r="H80" s="4"/>
      <c r="K80" s="3"/>
      <c r="L80" s="3"/>
      <c r="N80" s="2"/>
      <c r="O80" t="str">
        <f>IFERROR(F80-INDEX('Lead Tracker'!$O$5:$O$304,MATCH(D80,'Lead Tracker'!$F$5:$F$304,0)),"")</f>
        <v/>
      </c>
      <c r="P80" t="str">
        <f t="shared" si="5"/>
        <v/>
      </c>
    </row>
    <row r="81" spans="1:16">
      <c r="A81" t="str">
        <f t="shared" si="4"/>
        <v/>
      </c>
      <c r="F81" s="3"/>
      <c r="H81" s="4"/>
      <c r="K81" s="3"/>
      <c r="L81" s="3"/>
      <c r="N81" s="2"/>
      <c r="O81" t="str">
        <f>IFERROR(F81-INDEX('Lead Tracker'!$O$5:$O$304,MATCH(D81,'Lead Tracker'!$F$5:$F$304,0)),"")</f>
        <v/>
      </c>
      <c r="P81" t="str">
        <f t="shared" si="5"/>
        <v/>
      </c>
    </row>
    <row r="82" spans="1:16">
      <c r="A82" t="str">
        <f t="shared" si="4"/>
        <v/>
      </c>
      <c r="F82" s="3"/>
      <c r="H82" s="4"/>
      <c r="K82" s="3"/>
      <c r="L82" s="3"/>
      <c r="N82" s="2"/>
      <c r="O82" t="str">
        <f>IFERROR(F82-INDEX('Lead Tracker'!$O$5:$O$304,MATCH(D82,'Lead Tracker'!$F$5:$F$304,0)),"")</f>
        <v/>
      </c>
      <c r="P82" t="str">
        <f t="shared" si="5"/>
        <v/>
      </c>
    </row>
    <row r="83" spans="1:16">
      <c r="A83" t="str">
        <f t="shared" si="4"/>
        <v/>
      </c>
      <c r="F83" s="3"/>
      <c r="H83" s="4"/>
      <c r="K83" s="3"/>
      <c r="L83" s="3"/>
      <c r="N83" s="2"/>
      <c r="O83" t="str">
        <f>IFERROR(F83-INDEX('Lead Tracker'!$O$5:$O$304,MATCH(D83,'Lead Tracker'!$F$5:$F$304,0)),"")</f>
        <v/>
      </c>
      <c r="P83" t="str">
        <f t="shared" si="5"/>
        <v/>
      </c>
    </row>
    <row r="84" spans="1:16">
      <c r="A84" t="str">
        <f t="shared" si="4"/>
        <v/>
      </c>
      <c r="F84" s="3"/>
      <c r="H84" s="4"/>
      <c r="K84" s="3"/>
      <c r="L84" s="3"/>
      <c r="N84" s="2"/>
      <c r="O84" t="str">
        <f>IFERROR(F84-INDEX('Lead Tracker'!$O$5:$O$304,MATCH(D84,'Lead Tracker'!$F$5:$F$304,0)),"")</f>
        <v/>
      </c>
      <c r="P84" t="str">
        <f t="shared" si="5"/>
        <v/>
      </c>
    </row>
    <row r="85" spans="1:16">
      <c r="A85" t="str">
        <f t="shared" si="4"/>
        <v/>
      </c>
      <c r="F85" s="3"/>
      <c r="H85" s="4"/>
      <c r="K85" s="3"/>
      <c r="L85" s="3"/>
      <c r="N85" s="2"/>
      <c r="O85" t="str">
        <f>IFERROR(F85-INDEX('Lead Tracker'!$O$5:$O$304,MATCH(D85,'Lead Tracker'!$F$5:$F$304,0)),"")</f>
        <v/>
      </c>
      <c r="P85" t="str">
        <f t="shared" si="5"/>
        <v/>
      </c>
    </row>
    <row r="86" spans="1:16">
      <c r="A86" t="str">
        <f t="shared" si="4"/>
        <v/>
      </c>
      <c r="F86" s="3"/>
      <c r="H86" s="4"/>
      <c r="K86" s="3"/>
      <c r="L86" s="3"/>
      <c r="N86" s="2"/>
      <c r="O86" t="str">
        <f>IFERROR(F86-INDEX('Lead Tracker'!$O$5:$O$304,MATCH(D86,'Lead Tracker'!$F$5:$F$304,0)),"")</f>
        <v/>
      </c>
      <c r="P86" t="str">
        <f t="shared" si="5"/>
        <v/>
      </c>
    </row>
    <row r="87" spans="1:16">
      <c r="A87" t="str">
        <f t="shared" si="4"/>
        <v/>
      </c>
      <c r="F87" s="3"/>
      <c r="H87" s="4"/>
      <c r="K87" s="3"/>
      <c r="L87" s="3"/>
      <c r="N87" s="2"/>
      <c r="O87" t="str">
        <f>IFERROR(F87-INDEX('Lead Tracker'!$O$5:$O$304,MATCH(D87,'Lead Tracker'!$F$5:$F$304,0)),"")</f>
        <v/>
      </c>
      <c r="P87" t="str">
        <f t="shared" si="5"/>
        <v/>
      </c>
    </row>
    <row r="88" spans="1:16">
      <c r="A88" t="str">
        <f t="shared" si="4"/>
        <v/>
      </c>
      <c r="F88" s="3"/>
      <c r="H88" s="4"/>
      <c r="K88" s="3"/>
      <c r="L88" s="3"/>
      <c r="N88" s="2"/>
      <c r="O88" t="str">
        <f>IFERROR(F88-INDEX('Lead Tracker'!$O$5:$O$304,MATCH(D88,'Lead Tracker'!$F$5:$F$304,0)),"")</f>
        <v/>
      </c>
      <c r="P88" t="str">
        <f t="shared" si="5"/>
        <v/>
      </c>
    </row>
    <row r="89" spans="1:16">
      <c r="A89" t="str">
        <f t="shared" si="4"/>
        <v/>
      </c>
      <c r="F89" s="3"/>
      <c r="H89" s="4"/>
      <c r="K89" s="3"/>
      <c r="L89" s="3"/>
      <c r="N89" s="2"/>
      <c r="O89" t="str">
        <f>IFERROR(F89-INDEX('Lead Tracker'!$O$5:$O$304,MATCH(D89,'Lead Tracker'!$F$5:$F$304,0)),"")</f>
        <v/>
      </c>
      <c r="P89" t="str">
        <f t="shared" si="5"/>
        <v/>
      </c>
    </row>
    <row r="90" spans="1:16">
      <c r="A90" t="str">
        <f t="shared" si="4"/>
        <v/>
      </c>
      <c r="F90" s="3"/>
      <c r="H90" s="4"/>
      <c r="K90" s="3"/>
      <c r="L90" s="3"/>
      <c r="N90" s="2"/>
      <c r="O90" t="str">
        <f>IFERROR(F90-INDEX('Lead Tracker'!$O$5:$O$304,MATCH(D90,'Lead Tracker'!$F$5:$F$304,0)),"")</f>
        <v/>
      </c>
      <c r="P90" t="str">
        <f t="shared" si="5"/>
        <v/>
      </c>
    </row>
    <row r="91" spans="1:16">
      <c r="A91" t="str">
        <f t="shared" si="4"/>
        <v/>
      </c>
      <c r="F91" s="3"/>
      <c r="H91" s="4"/>
      <c r="K91" s="3"/>
      <c r="L91" s="3"/>
      <c r="N91" s="2"/>
      <c r="O91" t="str">
        <f>IFERROR(F91-INDEX('Lead Tracker'!$O$5:$O$304,MATCH(D91,'Lead Tracker'!$F$5:$F$304,0)),"")</f>
        <v/>
      </c>
      <c r="P91" t="str">
        <f t="shared" si="5"/>
        <v/>
      </c>
    </row>
    <row r="92" spans="1:16">
      <c r="A92" t="str">
        <f t="shared" si="4"/>
        <v/>
      </c>
      <c r="F92" s="3"/>
      <c r="H92" s="4"/>
      <c r="K92" s="3"/>
      <c r="L92" s="3"/>
      <c r="N92" s="2"/>
      <c r="O92" t="str">
        <f>IFERROR(F92-INDEX('Lead Tracker'!$O$5:$O$304,MATCH(D92,'Lead Tracker'!$F$5:$F$304,0)),"")</f>
        <v/>
      </c>
      <c r="P92" t="str">
        <f t="shared" si="5"/>
        <v/>
      </c>
    </row>
    <row r="93" spans="1:16">
      <c r="A93" t="str">
        <f t="shared" si="4"/>
        <v/>
      </c>
      <c r="F93" s="3"/>
      <c r="H93" s="4"/>
      <c r="K93" s="3"/>
      <c r="L93" s="3"/>
      <c r="N93" s="2"/>
      <c r="O93" t="str">
        <f>IFERROR(F93-INDEX('Lead Tracker'!$O$5:$O$304,MATCH(D93,'Lead Tracker'!$F$5:$F$304,0)),"")</f>
        <v/>
      </c>
      <c r="P93" t="str">
        <f t="shared" si="5"/>
        <v/>
      </c>
    </row>
    <row r="94" spans="1:16">
      <c r="A94" t="str">
        <f t="shared" si="4"/>
        <v/>
      </c>
      <c r="F94" s="3"/>
      <c r="H94" s="4"/>
      <c r="K94" s="3"/>
      <c r="L94" s="3"/>
      <c r="N94" s="2"/>
      <c r="O94" t="str">
        <f>IFERROR(F94-INDEX('Lead Tracker'!$O$5:$O$304,MATCH(D94,'Lead Tracker'!$F$5:$F$304,0)),"")</f>
        <v/>
      </c>
      <c r="P94" t="str">
        <f t="shared" si="5"/>
        <v/>
      </c>
    </row>
    <row r="95" spans="1:16">
      <c r="A95" t="str">
        <f t="shared" si="4"/>
        <v/>
      </c>
      <c r="F95" s="3"/>
      <c r="H95" s="4"/>
      <c r="K95" s="3"/>
      <c r="L95" s="3"/>
      <c r="N95" s="2"/>
      <c r="O95" t="str">
        <f>IFERROR(F95-INDEX('Lead Tracker'!$O$5:$O$304,MATCH(D95,'Lead Tracker'!$F$5:$F$304,0)),"")</f>
        <v/>
      </c>
      <c r="P95" t="str">
        <f t="shared" si="5"/>
        <v/>
      </c>
    </row>
    <row r="96" spans="1:16">
      <c r="A96" t="str">
        <f t="shared" si="4"/>
        <v/>
      </c>
      <c r="F96" s="3"/>
      <c r="H96" s="4"/>
      <c r="K96" s="3"/>
      <c r="L96" s="3"/>
      <c r="N96" s="2"/>
      <c r="O96" t="str">
        <f>IFERROR(F96-INDEX('Lead Tracker'!$O$5:$O$304,MATCH(D96,'Lead Tracker'!$F$5:$F$304,0)),"")</f>
        <v/>
      </c>
      <c r="P96" t="str">
        <f t="shared" si="5"/>
        <v/>
      </c>
    </row>
    <row r="97" spans="1:16">
      <c r="A97" t="str">
        <f t="shared" si="4"/>
        <v/>
      </c>
      <c r="F97" s="3"/>
      <c r="H97" s="4"/>
      <c r="K97" s="3"/>
      <c r="L97" s="3"/>
      <c r="N97" s="2"/>
      <c r="O97" t="str">
        <f>IFERROR(F97-INDEX('Lead Tracker'!$O$5:$O$304,MATCH(D97,'Lead Tracker'!$F$5:$F$304,0)),"")</f>
        <v/>
      </c>
      <c r="P97" t="str">
        <f t="shared" si="5"/>
        <v/>
      </c>
    </row>
    <row r="98" spans="1:16">
      <c r="A98" t="str">
        <f t="shared" si="4"/>
        <v/>
      </c>
      <c r="F98" s="3"/>
      <c r="H98" s="4"/>
      <c r="K98" s="3"/>
      <c r="L98" s="3"/>
      <c r="N98" s="2"/>
      <c r="O98" t="str">
        <f>IFERROR(F98-INDEX('Lead Tracker'!$O$5:$O$304,MATCH(D98,'Lead Tracker'!$F$5:$F$304,0)),"")</f>
        <v/>
      </c>
      <c r="P98" t="str">
        <f t="shared" si="5"/>
        <v/>
      </c>
    </row>
    <row r="99" spans="1:16">
      <c r="A99" t="str">
        <f t="shared" si="4"/>
        <v/>
      </c>
      <c r="F99" s="3"/>
      <c r="H99" s="4"/>
      <c r="K99" s="3"/>
      <c r="L99" s="3"/>
      <c r="N99" s="2"/>
      <c r="O99" t="str">
        <f>IFERROR(F99-INDEX('Lead Tracker'!$O$5:$O$304,MATCH(D99,'Lead Tracker'!$F$5:$F$304,0)),"")</f>
        <v/>
      </c>
      <c r="P99" t="str">
        <f t="shared" si="5"/>
        <v/>
      </c>
    </row>
    <row r="100" spans="1:16">
      <c r="A100" t="str">
        <f t="shared" ref="A100:A131" si="6">IF(B100="","","OPP-"&amp;TEXT(ROW()-3,"000"))</f>
        <v/>
      </c>
      <c r="F100" s="3"/>
      <c r="H100" s="4"/>
      <c r="K100" s="3"/>
      <c r="L100" s="3"/>
      <c r="N100" s="2"/>
      <c r="O100" t="str">
        <f>IFERROR(F100-INDEX('Lead Tracker'!$O$5:$O$304,MATCH(D100,'Lead Tracker'!$F$5:$F$304,0)),"")</f>
        <v/>
      </c>
      <c r="P100" t="str">
        <f t="shared" ref="P100:P131" si="7">IF(OR(F100="",L100=""),"",L100-F100)</f>
        <v/>
      </c>
    </row>
    <row r="101" spans="1:16">
      <c r="A101" t="str">
        <f t="shared" si="6"/>
        <v/>
      </c>
      <c r="F101" s="3"/>
      <c r="H101" s="4"/>
      <c r="K101" s="3"/>
      <c r="L101" s="3"/>
      <c r="N101" s="2"/>
      <c r="O101" t="str">
        <f>IFERROR(F101-INDEX('Lead Tracker'!$O$5:$O$304,MATCH(D101,'Lead Tracker'!$F$5:$F$304,0)),"")</f>
        <v/>
      </c>
      <c r="P101" t="str">
        <f t="shared" si="7"/>
        <v/>
      </c>
    </row>
    <row r="102" spans="1:16">
      <c r="A102" t="str">
        <f t="shared" si="6"/>
        <v/>
      </c>
      <c r="F102" s="3"/>
      <c r="H102" s="4"/>
      <c r="K102" s="3"/>
      <c r="L102" s="3"/>
      <c r="N102" s="2"/>
      <c r="O102" t="str">
        <f>IFERROR(F102-INDEX('Lead Tracker'!$O$5:$O$304,MATCH(D102,'Lead Tracker'!$F$5:$F$304,0)),"")</f>
        <v/>
      </c>
      <c r="P102" t="str">
        <f t="shared" si="7"/>
        <v/>
      </c>
    </row>
    <row r="103" spans="1:16">
      <c r="A103" t="str">
        <f t="shared" si="6"/>
        <v/>
      </c>
      <c r="F103" s="3"/>
      <c r="H103" s="4"/>
      <c r="K103" s="3"/>
      <c r="L103" s="3"/>
      <c r="N103" s="2"/>
      <c r="O103" t="str">
        <f>IFERROR(F103-INDEX('Lead Tracker'!$O$5:$O$304,MATCH(D103,'Lead Tracker'!$F$5:$F$304,0)),"")</f>
        <v/>
      </c>
      <c r="P103" t="str">
        <f t="shared" si="7"/>
        <v/>
      </c>
    </row>
    <row r="104" spans="1:16">
      <c r="A104" t="str">
        <f t="shared" si="6"/>
        <v/>
      </c>
      <c r="F104" s="3"/>
      <c r="H104" s="4"/>
      <c r="K104" s="3"/>
      <c r="L104" s="3"/>
      <c r="N104" s="2"/>
      <c r="O104" t="str">
        <f>IFERROR(F104-INDEX('Lead Tracker'!$O$5:$O$304,MATCH(D104,'Lead Tracker'!$F$5:$F$304,0)),"")</f>
        <v/>
      </c>
      <c r="P104" t="str">
        <f t="shared" si="7"/>
        <v/>
      </c>
    </row>
    <row r="105" spans="1:16">
      <c r="A105" t="str">
        <f t="shared" si="6"/>
        <v/>
      </c>
      <c r="F105" s="3"/>
      <c r="H105" s="4"/>
      <c r="K105" s="3"/>
      <c r="L105" s="3"/>
      <c r="N105" s="2"/>
      <c r="O105" t="str">
        <f>IFERROR(F105-INDEX('Lead Tracker'!$O$5:$O$304,MATCH(D105,'Lead Tracker'!$F$5:$F$304,0)),"")</f>
        <v/>
      </c>
      <c r="P105" t="str">
        <f t="shared" si="7"/>
        <v/>
      </c>
    </row>
    <row r="106" spans="1:16">
      <c r="A106" t="str">
        <f t="shared" si="6"/>
        <v/>
      </c>
      <c r="F106" s="3"/>
      <c r="H106" s="4"/>
      <c r="K106" s="3"/>
      <c r="L106" s="3"/>
      <c r="N106" s="2"/>
      <c r="O106" t="str">
        <f>IFERROR(F106-INDEX('Lead Tracker'!$O$5:$O$304,MATCH(D106,'Lead Tracker'!$F$5:$F$304,0)),"")</f>
        <v/>
      </c>
      <c r="P106" t="str">
        <f t="shared" si="7"/>
        <v/>
      </c>
    </row>
    <row r="107" spans="1:16">
      <c r="A107" t="str">
        <f t="shared" si="6"/>
        <v/>
      </c>
      <c r="F107" s="3"/>
      <c r="H107" s="4"/>
      <c r="K107" s="3"/>
      <c r="L107" s="3"/>
      <c r="N107" s="2"/>
      <c r="O107" t="str">
        <f>IFERROR(F107-INDEX('Lead Tracker'!$O$5:$O$304,MATCH(D107,'Lead Tracker'!$F$5:$F$304,0)),"")</f>
        <v/>
      </c>
      <c r="P107" t="str">
        <f t="shared" si="7"/>
        <v/>
      </c>
    </row>
    <row r="108" spans="1:16">
      <c r="A108" t="str">
        <f t="shared" si="6"/>
        <v/>
      </c>
      <c r="F108" s="3"/>
      <c r="H108" s="4"/>
      <c r="K108" s="3"/>
      <c r="L108" s="3"/>
      <c r="N108" s="2"/>
      <c r="O108" t="str">
        <f>IFERROR(F108-INDEX('Lead Tracker'!$O$5:$O$304,MATCH(D108,'Lead Tracker'!$F$5:$F$304,0)),"")</f>
        <v/>
      </c>
      <c r="P108" t="str">
        <f t="shared" si="7"/>
        <v/>
      </c>
    </row>
    <row r="109" spans="1:16">
      <c r="A109" t="str">
        <f t="shared" si="6"/>
        <v/>
      </c>
      <c r="F109" s="3"/>
      <c r="H109" s="4"/>
      <c r="K109" s="3"/>
      <c r="L109" s="3"/>
      <c r="N109" s="2"/>
      <c r="O109" t="str">
        <f>IFERROR(F109-INDEX('Lead Tracker'!$O$5:$O$304,MATCH(D109,'Lead Tracker'!$F$5:$F$304,0)),"")</f>
        <v/>
      </c>
      <c r="P109" t="str">
        <f t="shared" si="7"/>
        <v/>
      </c>
    </row>
    <row r="110" spans="1:16">
      <c r="A110" t="str">
        <f t="shared" si="6"/>
        <v/>
      </c>
      <c r="F110" s="3"/>
      <c r="H110" s="4"/>
      <c r="K110" s="3"/>
      <c r="L110" s="3"/>
      <c r="N110" s="2"/>
      <c r="O110" t="str">
        <f>IFERROR(F110-INDEX('Lead Tracker'!$O$5:$O$304,MATCH(D110,'Lead Tracker'!$F$5:$F$304,0)),"")</f>
        <v/>
      </c>
      <c r="P110" t="str">
        <f t="shared" si="7"/>
        <v/>
      </c>
    </row>
    <row r="111" spans="1:16">
      <c r="A111" t="str">
        <f t="shared" si="6"/>
        <v/>
      </c>
      <c r="F111" s="3"/>
      <c r="H111" s="4"/>
      <c r="K111" s="3"/>
      <c r="L111" s="3"/>
      <c r="N111" s="2"/>
      <c r="O111" t="str">
        <f>IFERROR(F111-INDEX('Lead Tracker'!$O$5:$O$304,MATCH(D111,'Lead Tracker'!$F$5:$F$304,0)),"")</f>
        <v/>
      </c>
      <c r="P111" t="str">
        <f t="shared" si="7"/>
        <v/>
      </c>
    </row>
    <row r="112" spans="1:16">
      <c r="A112" t="str">
        <f t="shared" si="6"/>
        <v/>
      </c>
      <c r="F112" s="3"/>
      <c r="H112" s="4"/>
      <c r="K112" s="3"/>
      <c r="L112" s="3"/>
      <c r="N112" s="2"/>
      <c r="O112" t="str">
        <f>IFERROR(F112-INDEX('Lead Tracker'!$O$5:$O$304,MATCH(D112,'Lead Tracker'!$F$5:$F$304,0)),"")</f>
        <v/>
      </c>
      <c r="P112" t="str">
        <f t="shared" si="7"/>
        <v/>
      </c>
    </row>
    <row r="113" spans="1:16">
      <c r="A113" t="str">
        <f t="shared" si="6"/>
        <v/>
      </c>
      <c r="F113" s="3"/>
      <c r="H113" s="4"/>
      <c r="K113" s="3"/>
      <c r="L113" s="3"/>
      <c r="N113" s="2"/>
      <c r="O113" t="str">
        <f>IFERROR(F113-INDEX('Lead Tracker'!$O$5:$O$304,MATCH(D113,'Lead Tracker'!$F$5:$F$304,0)),"")</f>
        <v/>
      </c>
      <c r="P113" t="str">
        <f t="shared" si="7"/>
        <v/>
      </c>
    </row>
    <row r="114" spans="1:16">
      <c r="A114" t="str">
        <f t="shared" si="6"/>
        <v/>
      </c>
      <c r="F114" s="3"/>
      <c r="H114" s="4"/>
      <c r="K114" s="3"/>
      <c r="L114" s="3"/>
      <c r="N114" s="2"/>
      <c r="O114" t="str">
        <f>IFERROR(F114-INDEX('Lead Tracker'!$O$5:$O$304,MATCH(D114,'Lead Tracker'!$F$5:$F$304,0)),"")</f>
        <v/>
      </c>
      <c r="P114" t="str">
        <f t="shared" si="7"/>
        <v/>
      </c>
    </row>
    <row r="115" spans="1:16">
      <c r="A115" t="str">
        <f t="shared" si="6"/>
        <v/>
      </c>
      <c r="F115" s="3"/>
      <c r="H115" s="4"/>
      <c r="K115" s="3"/>
      <c r="L115" s="3"/>
      <c r="N115" s="2"/>
      <c r="O115" t="str">
        <f>IFERROR(F115-INDEX('Lead Tracker'!$O$5:$O$304,MATCH(D115,'Lead Tracker'!$F$5:$F$304,0)),"")</f>
        <v/>
      </c>
      <c r="P115" t="str">
        <f t="shared" si="7"/>
        <v/>
      </c>
    </row>
    <row r="116" spans="1:16">
      <c r="A116" t="str">
        <f t="shared" si="6"/>
        <v/>
      </c>
      <c r="F116" s="3"/>
      <c r="H116" s="4"/>
      <c r="K116" s="3"/>
      <c r="L116" s="3"/>
      <c r="N116" s="2"/>
      <c r="O116" t="str">
        <f>IFERROR(F116-INDEX('Lead Tracker'!$O$5:$O$304,MATCH(D116,'Lead Tracker'!$F$5:$F$304,0)),"")</f>
        <v/>
      </c>
      <c r="P116" t="str">
        <f t="shared" si="7"/>
        <v/>
      </c>
    </row>
    <row r="117" spans="1:16">
      <c r="A117" t="str">
        <f t="shared" si="6"/>
        <v/>
      </c>
      <c r="F117" s="3"/>
      <c r="H117" s="4"/>
      <c r="K117" s="3"/>
      <c r="L117" s="3"/>
      <c r="N117" s="2"/>
      <c r="O117" t="str">
        <f>IFERROR(F117-INDEX('Lead Tracker'!$O$5:$O$304,MATCH(D117,'Lead Tracker'!$F$5:$F$304,0)),"")</f>
        <v/>
      </c>
      <c r="P117" t="str">
        <f t="shared" si="7"/>
        <v/>
      </c>
    </row>
    <row r="118" spans="1:16">
      <c r="A118" t="str">
        <f t="shared" si="6"/>
        <v/>
      </c>
      <c r="F118" s="3"/>
      <c r="H118" s="4"/>
      <c r="K118" s="3"/>
      <c r="L118" s="3"/>
      <c r="N118" s="2"/>
      <c r="O118" t="str">
        <f>IFERROR(F118-INDEX('Lead Tracker'!$O$5:$O$304,MATCH(D118,'Lead Tracker'!$F$5:$F$304,0)),"")</f>
        <v/>
      </c>
      <c r="P118" t="str">
        <f t="shared" si="7"/>
        <v/>
      </c>
    </row>
    <row r="119" spans="1:16">
      <c r="A119" t="str">
        <f t="shared" si="6"/>
        <v/>
      </c>
      <c r="F119" s="3"/>
      <c r="H119" s="4"/>
      <c r="K119" s="3"/>
      <c r="L119" s="3"/>
      <c r="N119" s="2"/>
      <c r="O119" t="str">
        <f>IFERROR(F119-INDEX('Lead Tracker'!$O$5:$O$304,MATCH(D119,'Lead Tracker'!$F$5:$F$304,0)),"")</f>
        <v/>
      </c>
      <c r="P119" t="str">
        <f t="shared" si="7"/>
        <v/>
      </c>
    </row>
    <row r="120" spans="1:16">
      <c r="A120" t="str">
        <f t="shared" si="6"/>
        <v/>
      </c>
      <c r="F120" s="3"/>
      <c r="H120" s="4"/>
      <c r="K120" s="3"/>
      <c r="L120" s="3"/>
      <c r="N120" s="2"/>
      <c r="O120" t="str">
        <f>IFERROR(F120-INDEX('Lead Tracker'!$O$5:$O$304,MATCH(D120,'Lead Tracker'!$F$5:$F$304,0)),"")</f>
        <v/>
      </c>
      <c r="P120" t="str">
        <f t="shared" si="7"/>
        <v/>
      </c>
    </row>
    <row r="121" spans="1:16">
      <c r="A121" t="str">
        <f t="shared" si="6"/>
        <v/>
      </c>
      <c r="F121" s="3"/>
      <c r="H121" s="4"/>
      <c r="K121" s="3"/>
      <c r="L121" s="3"/>
      <c r="N121" s="2"/>
      <c r="O121" t="str">
        <f>IFERROR(F121-INDEX('Lead Tracker'!$O$5:$O$304,MATCH(D121,'Lead Tracker'!$F$5:$F$304,0)),"")</f>
        <v/>
      </c>
      <c r="P121" t="str">
        <f t="shared" si="7"/>
        <v/>
      </c>
    </row>
    <row r="122" spans="1:16">
      <c r="A122" t="str">
        <f t="shared" si="6"/>
        <v/>
      </c>
      <c r="F122" s="3"/>
      <c r="H122" s="4"/>
      <c r="K122" s="3"/>
      <c r="L122" s="3"/>
      <c r="N122" s="2"/>
      <c r="O122" t="str">
        <f>IFERROR(F122-INDEX('Lead Tracker'!$O$5:$O$304,MATCH(D122,'Lead Tracker'!$F$5:$F$304,0)),"")</f>
        <v/>
      </c>
      <c r="P122" t="str">
        <f t="shared" si="7"/>
        <v/>
      </c>
    </row>
    <row r="123" spans="1:16">
      <c r="A123" t="str">
        <f t="shared" si="6"/>
        <v/>
      </c>
      <c r="F123" s="3"/>
      <c r="H123" s="4"/>
      <c r="K123" s="3"/>
      <c r="L123" s="3"/>
      <c r="N123" s="2"/>
      <c r="O123" t="str">
        <f>IFERROR(F123-INDEX('Lead Tracker'!$O$5:$O$304,MATCH(D123,'Lead Tracker'!$F$5:$F$304,0)),"")</f>
        <v/>
      </c>
      <c r="P123" t="str">
        <f t="shared" si="7"/>
        <v/>
      </c>
    </row>
    <row r="124" spans="1:16">
      <c r="A124" t="str">
        <f t="shared" si="6"/>
        <v/>
      </c>
      <c r="F124" s="3"/>
      <c r="H124" s="4"/>
      <c r="K124" s="3"/>
      <c r="L124" s="3"/>
      <c r="N124" s="2"/>
      <c r="O124" t="str">
        <f>IFERROR(F124-INDEX('Lead Tracker'!$O$5:$O$304,MATCH(D124,'Lead Tracker'!$F$5:$F$304,0)),"")</f>
        <v/>
      </c>
      <c r="P124" t="str">
        <f t="shared" si="7"/>
        <v/>
      </c>
    </row>
    <row r="125" spans="1:16">
      <c r="A125" t="str">
        <f t="shared" si="6"/>
        <v/>
      </c>
      <c r="F125" s="3"/>
      <c r="H125" s="4"/>
      <c r="K125" s="3"/>
      <c r="L125" s="3"/>
      <c r="N125" s="2"/>
      <c r="O125" t="str">
        <f>IFERROR(F125-INDEX('Lead Tracker'!$O$5:$O$304,MATCH(D125,'Lead Tracker'!$F$5:$F$304,0)),"")</f>
        <v/>
      </c>
      <c r="P125" t="str">
        <f t="shared" si="7"/>
        <v/>
      </c>
    </row>
    <row r="126" spans="1:16">
      <c r="A126" t="str">
        <f t="shared" si="6"/>
        <v/>
      </c>
      <c r="F126" s="3"/>
      <c r="H126" s="4"/>
      <c r="K126" s="3"/>
      <c r="L126" s="3"/>
      <c r="N126" s="2"/>
      <c r="O126" t="str">
        <f>IFERROR(F126-INDEX('Lead Tracker'!$O$5:$O$304,MATCH(D126,'Lead Tracker'!$F$5:$F$304,0)),"")</f>
        <v/>
      </c>
      <c r="P126" t="str">
        <f t="shared" si="7"/>
        <v/>
      </c>
    </row>
    <row r="127" spans="1:16">
      <c r="A127" t="str">
        <f t="shared" si="6"/>
        <v/>
      </c>
      <c r="F127" s="3"/>
      <c r="H127" s="4"/>
      <c r="K127" s="3"/>
      <c r="L127" s="3"/>
      <c r="N127" s="2"/>
      <c r="O127" t="str">
        <f>IFERROR(F127-INDEX('Lead Tracker'!$O$5:$O$304,MATCH(D127,'Lead Tracker'!$F$5:$F$304,0)),"")</f>
        <v/>
      </c>
      <c r="P127" t="str">
        <f t="shared" si="7"/>
        <v/>
      </c>
    </row>
    <row r="128" spans="1:16">
      <c r="A128" t="str">
        <f t="shared" si="6"/>
        <v/>
      </c>
      <c r="F128" s="3"/>
      <c r="H128" s="4"/>
      <c r="K128" s="3"/>
      <c r="L128" s="3"/>
      <c r="N128" s="2"/>
      <c r="O128" t="str">
        <f>IFERROR(F128-INDEX('Lead Tracker'!$O$5:$O$304,MATCH(D128,'Lead Tracker'!$F$5:$F$304,0)),"")</f>
        <v/>
      </c>
      <c r="P128" t="str">
        <f t="shared" si="7"/>
        <v/>
      </c>
    </row>
    <row r="129" spans="1:16">
      <c r="A129" t="str">
        <f t="shared" si="6"/>
        <v/>
      </c>
      <c r="F129" s="3"/>
      <c r="H129" s="4"/>
      <c r="K129" s="3"/>
      <c r="L129" s="3"/>
      <c r="N129" s="2"/>
      <c r="O129" t="str">
        <f>IFERROR(F129-INDEX('Lead Tracker'!$O$5:$O$304,MATCH(D129,'Lead Tracker'!$F$5:$F$304,0)),"")</f>
        <v/>
      </c>
      <c r="P129" t="str">
        <f t="shared" si="7"/>
        <v/>
      </c>
    </row>
    <row r="130" spans="1:16">
      <c r="A130" t="str">
        <f t="shared" si="6"/>
        <v/>
      </c>
      <c r="F130" s="3"/>
      <c r="H130" s="4"/>
      <c r="K130" s="3"/>
      <c r="L130" s="3"/>
      <c r="N130" s="2"/>
      <c r="O130" t="str">
        <f>IFERROR(F130-INDEX('Lead Tracker'!$O$5:$O$304,MATCH(D130,'Lead Tracker'!$F$5:$F$304,0)),"")</f>
        <v/>
      </c>
      <c r="P130" t="str">
        <f t="shared" si="7"/>
        <v/>
      </c>
    </row>
    <row r="131" spans="1:16">
      <c r="A131" t="str">
        <f t="shared" si="6"/>
        <v/>
      </c>
      <c r="F131" s="3"/>
      <c r="H131" s="4"/>
      <c r="K131" s="3"/>
      <c r="L131" s="3"/>
      <c r="N131" s="2"/>
      <c r="O131" t="str">
        <f>IFERROR(F131-INDEX('Lead Tracker'!$O$5:$O$304,MATCH(D131,'Lead Tracker'!$F$5:$F$304,0)),"")</f>
        <v/>
      </c>
      <c r="P131" t="str">
        <f t="shared" si="7"/>
        <v/>
      </c>
    </row>
    <row r="132" spans="1:16">
      <c r="A132" t="str">
        <f t="shared" ref="A132:A163" si="8">IF(B132="","","OPP-"&amp;TEXT(ROW()-3,"000"))</f>
        <v/>
      </c>
      <c r="F132" s="3"/>
      <c r="H132" s="4"/>
      <c r="K132" s="3"/>
      <c r="L132" s="3"/>
      <c r="N132" s="2"/>
      <c r="O132" t="str">
        <f>IFERROR(F132-INDEX('Lead Tracker'!$O$5:$O$304,MATCH(D132,'Lead Tracker'!$F$5:$F$304,0)),"")</f>
        <v/>
      </c>
      <c r="P132" t="str">
        <f t="shared" ref="P132:P163" si="9">IF(OR(F132="",L132=""),"",L132-F132)</f>
        <v/>
      </c>
    </row>
    <row r="133" spans="1:16">
      <c r="A133" t="str">
        <f t="shared" si="8"/>
        <v/>
      </c>
      <c r="F133" s="3"/>
      <c r="H133" s="4"/>
      <c r="K133" s="3"/>
      <c r="L133" s="3"/>
      <c r="N133" s="2"/>
      <c r="O133" t="str">
        <f>IFERROR(F133-INDEX('Lead Tracker'!$O$5:$O$304,MATCH(D133,'Lead Tracker'!$F$5:$F$304,0)),"")</f>
        <v/>
      </c>
      <c r="P133" t="str">
        <f t="shared" si="9"/>
        <v/>
      </c>
    </row>
    <row r="134" spans="1:16">
      <c r="A134" t="str">
        <f t="shared" si="8"/>
        <v/>
      </c>
      <c r="F134" s="3"/>
      <c r="H134" s="4"/>
      <c r="K134" s="3"/>
      <c r="L134" s="3"/>
      <c r="N134" s="2"/>
      <c r="O134" t="str">
        <f>IFERROR(F134-INDEX('Lead Tracker'!$O$5:$O$304,MATCH(D134,'Lead Tracker'!$F$5:$F$304,0)),"")</f>
        <v/>
      </c>
      <c r="P134" t="str">
        <f t="shared" si="9"/>
        <v/>
      </c>
    </row>
    <row r="135" spans="1:16">
      <c r="A135" t="str">
        <f t="shared" si="8"/>
        <v/>
      </c>
      <c r="F135" s="3"/>
      <c r="H135" s="4"/>
      <c r="K135" s="3"/>
      <c r="L135" s="3"/>
      <c r="N135" s="2"/>
      <c r="O135" t="str">
        <f>IFERROR(F135-INDEX('Lead Tracker'!$O$5:$O$304,MATCH(D135,'Lead Tracker'!$F$5:$F$304,0)),"")</f>
        <v/>
      </c>
      <c r="P135" t="str">
        <f t="shared" si="9"/>
        <v/>
      </c>
    </row>
    <row r="136" spans="1:16">
      <c r="A136" t="str">
        <f t="shared" si="8"/>
        <v/>
      </c>
      <c r="F136" s="3"/>
      <c r="H136" s="4"/>
      <c r="K136" s="3"/>
      <c r="L136" s="3"/>
      <c r="N136" s="2"/>
      <c r="O136" t="str">
        <f>IFERROR(F136-INDEX('Lead Tracker'!$O$5:$O$304,MATCH(D136,'Lead Tracker'!$F$5:$F$304,0)),"")</f>
        <v/>
      </c>
      <c r="P136" t="str">
        <f t="shared" si="9"/>
        <v/>
      </c>
    </row>
    <row r="137" spans="1:16">
      <c r="A137" t="str">
        <f t="shared" si="8"/>
        <v/>
      </c>
      <c r="F137" s="3"/>
      <c r="H137" s="4"/>
      <c r="K137" s="3"/>
      <c r="L137" s="3"/>
      <c r="N137" s="2"/>
      <c r="O137" t="str">
        <f>IFERROR(F137-INDEX('Lead Tracker'!$O$5:$O$304,MATCH(D137,'Lead Tracker'!$F$5:$F$304,0)),"")</f>
        <v/>
      </c>
      <c r="P137" t="str">
        <f t="shared" si="9"/>
        <v/>
      </c>
    </row>
    <row r="138" spans="1:16">
      <c r="A138" t="str">
        <f t="shared" si="8"/>
        <v/>
      </c>
      <c r="F138" s="3"/>
      <c r="H138" s="4"/>
      <c r="K138" s="3"/>
      <c r="L138" s="3"/>
      <c r="N138" s="2"/>
      <c r="O138" t="str">
        <f>IFERROR(F138-INDEX('Lead Tracker'!$O$5:$O$304,MATCH(D138,'Lead Tracker'!$F$5:$F$304,0)),"")</f>
        <v/>
      </c>
      <c r="P138" t="str">
        <f t="shared" si="9"/>
        <v/>
      </c>
    </row>
    <row r="139" spans="1:16">
      <c r="A139" t="str">
        <f t="shared" si="8"/>
        <v/>
      </c>
      <c r="F139" s="3"/>
      <c r="H139" s="4"/>
      <c r="K139" s="3"/>
      <c r="L139" s="3"/>
      <c r="N139" s="2"/>
      <c r="O139" t="str">
        <f>IFERROR(F139-INDEX('Lead Tracker'!$O$5:$O$304,MATCH(D139,'Lead Tracker'!$F$5:$F$304,0)),"")</f>
        <v/>
      </c>
      <c r="P139" t="str">
        <f t="shared" si="9"/>
        <v/>
      </c>
    </row>
    <row r="140" spans="1:16">
      <c r="A140" t="str">
        <f t="shared" si="8"/>
        <v/>
      </c>
      <c r="F140" s="3"/>
      <c r="H140" s="4"/>
      <c r="K140" s="3"/>
      <c r="L140" s="3"/>
      <c r="N140" s="2"/>
      <c r="O140" t="str">
        <f>IFERROR(F140-INDEX('Lead Tracker'!$O$5:$O$304,MATCH(D140,'Lead Tracker'!$F$5:$F$304,0)),"")</f>
        <v/>
      </c>
      <c r="P140" t="str">
        <f t="shared" si="9"/>
        <v/>
      </c>
    </row>
    <row r="141" spans="1:16">
      <c r="A141" t="str">
        <f t="shared" si="8"/>
        <v/>
      </c>
      <c r="F141" s="3"/>
      <c r="H141" s="4"/>
      <c r="K141" s="3"/>
      <c r="L141" s="3"/>
      <c r="N141" s="2"/>
      <c r="O141" t="str">
        <f>IFERROR(F141-INDEX('Lead Tracker'!$O$5:$O$304,MATCH(D141,'Lead Tracker'!$F$5:$F$304,0)),"")</f>
        <v/>
      </c>
      <c r="P141" t="str">
        <f t="shared" si="9"/>
        <v/>
      </c>
    </row>
    <row r="142" spans="1:16">
      <c r="A142" t="str">
        <f t="shared" si="8"/>
        <v/>
      </c>
      <c r="F142" s="3"/>
      <c r="H142" s="4"/>
      <c r="K142" s="3"/>
      <c r="L142" s="3"/>
      <c r="N142" s="2"/>
      <c r="O142" t="str">
        <f>IFERROR(F142-INDEX('Lead Tracker'!$O$5:$O$304,MATCH(D142,'Lead Tracker'!$F$5:$F$304,0)),"")</f>
        <v/>
      </c>
      <c r="P142" t="str">
        <f t="shared" si="9"/>
        <v/>
      </c>
    </row>
    <row r="143" spans="1:16">
      <c r="A143" t="str">
        <f t="shared" si="8"/>
        <v/>
      </c>
      <c r="F143" s="3"/>
      <c r="H143" s="4"/>
      <c r="K143" s="3"/>
      <c r="L143" s="3"/>
      <c r="N143" s="2"/>
      <c r="O143" t="str">
        <f>IFERROR(F143-INDEX('Lead Tracker'!$O$5:$O$304,MATCH(D143,'Lead Tracker'!$F$5:$F$304,0)),"")</f>
        <v/>
      </c>
      <c r="P143" t="str">
        <f t="shared" si="9"/>
        <v/>
      </c>
    </row>
    <row r="144" spans="1:16">
      <c r="A144" t="str">
        <f t="shared" si="8"/>
        <v/>
      </c>
      <c r="F144" s="3"/>
      <c r="H144" s="4"/>
      <c r="K144" s="3"/>
      <c r="L144" s="3"/>
      <c r="N144" s="2"/>
      <c r="O144" t="str">
        <f>IFERROR(F144-INDEX('Lead Tracker'!$O$5:$O$304,MATCH(D144,'Lead Tracker'!$F$5:$F$304,0)),"")</f>
        <v/>
      </c>
      <c r="P144" t="str">
        <f t="shared" si="9"/>
        <v/>
      </c>
    </row>
    <row r="145" spans="1:16">
      <c r="A145" t="str">
        <f t="shared" si="8"/>
        <v/>
      </c>
      <c r="F145" s="3"/>
      <c r="H145" s="4"/>
      <c r="K145" s="3"/>
      <c r="L145" s="3"/>
      <c r="N145" s="2"/>
      <c r="O145" t="str">
        <f>IFERROR(F145-INDEX('Lead Tracker'!$O$5:$O$304,MATCH(D145,'Lead Tracker'!$F$5:$F$304,0)),"")</f>
        <v/>
      </c>
      <c r="P145" t="str">
        <f t="shared" si="9"/>
        <v/>
      </c>
    </row>
    <row r="146" spans="1:16">
      <c r="A146" t="str">
        <f t="shared" si="8"/>
        <v/>
      </c>
      <c r="F146" s="3"/>
      <c r="H146" s="4"/>
      <c r="K146" s="3"/>
      <c r="L146" s="3"/>
      <c r="N146" s="2"/>
      <c r="O146" t="str">
        <f>IFERROR(F146-INDEX('Lead Tracker'!$O$5:$O$304,MATCH(D146,'Lead Tracker'!$F$5:$F$304,0)),"")</f>
        <v/>
      </c>
      <c r="P146" t="str">
        <f t="shared" si="9"/>
        <v/>
      </c>
    </row>
    <row r="147" spans="1:16">
      <c r="A147" t="str">
        <f t="shared" si="8"/>
        <v/>
      </c>
      <c r="F147" s="3"/>
      <c r="H147" s="4"/>
      <c r="K147" s="3"/>
      <c r="L147" s="3"/>
      <c r="N147" s="2"/>
      <c r="O147" t="str">
        <f>IFERROR(F147-INDEX('Lead Tracker'!$O$5:$O$304,MATCH(D147,'Lead Tracker'!$F$5:$F$304,0)),"")</f>
        <v/>
      </c>
      <c r="P147" t="str">
        <f t="shared" si="9"/>
        <v/>
      </c>
    </row>
    <row r="148" spans="1:16">
      <c r="A148" t="str">
        <f t="shared" si="8"/>
        <v/>
      </c>
      <c r="F148" s="3"/>
      <c r="H148" s="4"/>
      <c r="K148" s="3"/>
      <c r="L148" s="3"/>
      <c r="N148" s="2"/>
      <c r="O148" t="str">
        <f>IFERROR(F148-INDEX('Lead Tracker'!$O$5:$O$304,MATCH(D148,'Lead Tracker'!$F$5:$F$304,0)),"")</f>
        <v/>
      </c>
      <c r="P148" t="str">
        <f t="shared" si="9"/>
        <v/>
      </c>
    </row>
    <row r="149" spans="1:16">
      <c r="A149" t="str">
        <f t="shared" si="8"/>
        <v/>
      </c>
      <c r="F149" s="3"/>
      <c r="H149" s="4"/>
      <c r="K149" s="3"/>
      <c r="L149" s="3"/>
      <c r="N149" s="2"/>
      <c r="O149" t="str">
        <f>IFERROR(F149-INDEX('Lead Tracker'!$O$5:$O$304,MATCH(D149,'Lead Tracker'!$F$5:$F$304,0)),"")</f>
        <v/>
      </c>
      <c r="P149" t="str">
        <f t="shared" si="9"/>
        <v/>
      </c>
    </row>
    <row r="150" spans="1:16">
      <c r="A150" t="str">
        <f t="shared" si="8"/>
        <v/>
      </c>
      <c r="F150" s="3"/>
      <c r="H150" s="4"/>
      <c r="K150" s="3"/>
      <c r="L150" s="3"/>
      <c r="N150" s="2"/>
      <c r="O150" t="str">
        <f>IFERROR(F150-INDEX('Lead Tracker'!$O$5:$O$304,MATCH(D150,'Lead Tracker'!$F$5:$F$304,0)),"")</f>
        <v/>
      </c>
      <c r="P150" t="str">
        <f t="shared" si="9"/>
        <v/>
      </c>
    </row>
    <row r="151" spans="1:16">
      <c r="A151" t="str">
        <f t="shared" si="8"/>
        <v/>
      </c>
      <c r="F151" s="3"/>
      <c r="H151" s="4"/>
      <c r="K151" s="3"/>
      <c r="L151" s="3"/>
      <c r="N151" s="2"/>
      <c r="O151" t="str">
        <f>IFERROR(F151-INDEX('Lead Tracker'!$O$5:$O$304,MATCH(D151,'Lead Tracker'!$F$5:$F$304,0)),"")</f>
        <v/>
      </c>
      <c r="P151" t="str">
        <f t="shared" si="9"/>
        <v/>
      </c>
    </row>
    <row r="152" spans="1:16">
      <c r="A152" t="str">
        <f t="shared" si="8"/>
        <v/>
      </c>
      <c r="F152" s="3"/>
      <c r="H152" s="4"/>
      <c r="K152" s="3"/>
      <c r="L152" s="3"/>
      <c r="N152" s="2"/>
      <c r="O152" t="str">
        <f>IFERROR(F152-INDEX('Lead Tracker'!$O$5:$O$304,MATCH(D152,'Lead Tracker'!$F$5:$F$304,0)),"")</f>
        <v/>
      </c>
      <c r="P152" t="str">
        <f t="shared" si="9"/>
        <v/>
      </c>
    </row>
    <row r="153" spans="1:16">
      <c r="A153" t="str">
        <f t="shared" si="8"/>
        <v/>
      </c>
      <c r="F153" s="3"/>
      <c r="H153" s="4"/>
      <c r="K153" s="3"/>
      <c r="L153" s="3"/>
      <c r="N153" s="2"/>
      <c r="O153" t="str">
        <f>IFERROR(F153-INDEX('Lead Tracker'!$O$5:$O$304,MATCH(D153,'Lead Tracker'!$F$5:$F$304,0)),"")</f>
        <v/>
      </c>
      <c r="P153" t="str">
        <f t="shared" si="9"/>
        <v/>
      </c>
    </row>
    <row r="154" spans="1:16">
      <c r="A154" t="str">
        <f t="shared" si="8"/>
        <v/>
      </c>
      <c r="F154" s="3"/>
      <c r="H154" s="4"/>
      <c r="K154" s="3"/>
      <c r="L154" s="3"/>
      <c r="N154" s="2"/>
      <c r="O154" t="str">
        <f>IFERROR(F154-INDEX('Lead Tracker'!$O$5:$O$304,MATCH(D154,'Lead Tracker'!$F$5:$F$304,0)),"")</f>
        <v/>
      </c>
      <c r="P154" t="str">
        <f t="shared" si="9"/>
        <v/>
      </c>
    </row>
    <row r="155" spans="1:16">
      <c r="A155" t="str">
        <f t="shared" si="8"/>
        <v/>
      </c>
      <c r="F155" s="3"/>
      <c r="H155" s="4"/>
      <c r="K155" s="3"/>
      <c r="L155" s="3"/>
      <c r="N155" s="2"/>
      <c r="O155" t="str">
        <f>IFERROR(F155-INDEX('Lead Tracker'!$O$5:$O$304,MATCH(D155,'Lead Tracker'!$F$5:$F$304,0)),"")</f>
        <v/>
      </c>
      <c r="P155" t="str">
        <f t="shared" si="9"/>
        <v/>
      </c>
    </row>
    <row r="156" spans="1:16">
      <c r="A156" t="str">
        <f t="shared" si="8"/>
        <v/>
      </c>
      <c r="F156" s="3"/>
      <c r="H156" s="4"/>
      <c r="K156" s="3"/>
      <c r="L156" s="3"/>
      <c r="N156" s="2"/>
      <c r="O156" t="str">
        <f>IFERROR(F156-INDEX('Lead Tracker'!$O$5:$O$304,MATCH(D156,'Lead Tracker'!$F$5:$F$304,0)),"")</f>
        <v/>
      </c>
      <c r="P156" t="str">
        <f t="shared" si="9"/>
        <v/>
      </c>
    </row>
    <row r="157" spans="1:16">
      <c r="A157" t="str">
        <f t="shared" si="8"/>
        <v/>
      </c>
      <c r="F157" s="3"/>
      <c r="H157" s="4"/>
      <c r="K157" s="3"/>
      <c r="L157" s="3"/>
      <c r="N157" s="2"/>
      <c r="O157" t="str">
        <f>IFERROR(F157-INDEX('Lead Tracker'!$O$5:$O$304,MATCH(D157,'Lead Tracker'!$F$5:$F$304,0)),"")</f>
        <v/>
      </c>
      <c r="P157" t="str">
        <f t="shared" si="9"/>
        <v/>
      </c>
    </row>
    <row r="158" spans="1:16">
      <c r="A158" t="str">
        <f t="shared" si="8"/>
        <v/>
      </c>
      <c r="F158" s="3"/>
      <c r="H158" s="4"/>
      <c r="K158" s="3"/>
      <c r="L158" s="3"/>
      <c r="N158" s="2"/>
      <c r="O158" t="str">
        <f>IFERROR(F158-INDEX('Lead Tracker'!$O$5:$O$304,MATCH(D158,'Lead Tracker'!$F$5:$F$304,0)),"")</f>
        <v/>
      </c>
      <c r="P158" t="str">
        <f t="shared" si="9"/>
        <v/>
      </c>
    </row>
    <row r="159" spans="1:16">
      <c r="A159" t="str">
        <f t="shared" si="8"/>
        <v/>
      </c>
      <c r="F159" s="3"/>
      <c r="H159" s="4"/>
      <c r="K159" s="3"/>
      <c r="L159" s="3"/>
      <c r="N159" s="2"/>
      <c r="O159" t="str">
        <f>IFERROR(F159-INDEX('Lead Tracker'!$O$5:$O$304,MATCH(D159,'Lead Tracker'!$F$5:$F$304,0)),"")</f>
        <v/>
      </c>
      <c r="P159" t="str">
        <f t="shared" si="9"/>
        <v/>
      </c>
    </row>
    <row r="160" spans="1:16">
      <c r="A160" t="str">
        <f t="shared" si="8"/>
        <v/>
      </c>
      <c r="F160" s="3"/>
      <c r="H160" s="4"/>
      <c r="K160" s="3"/>
      <c r="L160" s="3"/>
      <c r="N160" s="2"/>
      <c r="O160" t="str">
        <f>IFERROR(F160-INDEX('Lead Tracker'!$O$5:$O$304,MATCH(D160,'Lead Tracker'!$F$5:$F$304,0)),"")</f>
        <v/>
      </c>
      <c r="P160" t="str">
        <f t="shared" si="9"/>
        <v/>
      </c>
    </row>
    <row r="161" spans="1:16">
      <c r="A161" t="str">
        <f t="shared" si="8"/>
        <v/>
      </c>
      <c r="F161" s="3"/>
      <c r="H161" s="4"/>
      <c r="K161" s="3"/>
      <c r="L161" s="3"/>
      <c r="N161" s="2"/>
      <c r="O161" t="str">
        <f>IFERROR(F161-INDEX('Lead Tracker'!$O$5:$O$304,MATCH(D161,'Lead Tracker'!$F$5:$F$304,0)),"")</f>
        <v/>
      </c>
      <c r="P161" t="str">
        <f t="shared" si="9"/>
        <v/>
      </c>
    </row>
    <row r="162" spans="1:16">
      <c r="A162" t="str">
        <f t="shared" si="8"/>
        <v/>
      </c>
      <c r="F162" s="3"/>
      <c r="H162" s="4"/>
      <c r="K162" s="3"/>
      <c r="L162" s="3"/>
      <c r="N162" s="2"/>
      <c r="O162" t="str">
        <f>IFERROR(F162-INDEX('Lead Tracker'!$O$5:$O$304,MATCH(D162,'Lead Tracker'!$F$5:$F$304,0)),"")</f>
        <v/>
      </c>
      <c r="P162" t="str">
        <f t="shared" si="9"/>
        <v/>
      </c>
    </row>
    <row r="163" spans="1:16">
      <c r="A163" t="str">
        <f t="shared" si="8"/>
        <v/>
      </c>
      <c r="F163" s="3"/>
      <c r="H163" s="4"/>
      <c r="K163" s="3"/>
      <c r="L163" s="3"/>
      <c r="N163" s="2"/>
      <c r="O163" t="str">
        <f>IFERROR(F163-INDEX('Lead Tracker'!$O$5:$O$304,MATCH(D163,'Lead Tracker'!$F$5:$F$304,0)),"")</f>
        <v/>
      </c>
      <c r="P163" t="str">
        <f t="shared" si="9"/>
        <v/>
      </c>
    </row>
    <row r="164" spans="1:16">
      <c r="A164" t="str">
        <f t="shared" ref="A164:A195" si="10">IF(B164="","","OPP-"&amp;TEXT(ROW()-3,"000"))</f>
        <v/>
      </c>
      <c r="F164" s="3"/>
      <c r="H164" s="4"/>
      <c r="K164" s="3"/>
      <c r="L164" s="3"/>
      <c r="N164" s="2"/>
      <c r="O164" t="str">
        <f>IFERROR(F164-INDEX('Lead Tracker'!$O$5:$O$304,MATCH(D164,'Lead Tracker'!$F$5:$F$304,0)),"")</f>
        <v/>
      </c>
      <c r="P164" t="str">
        <f t="shared" ref="P164:P195" si="11">IF(OR(F164="",L164=""),"",L164-F164)</f>
        <v/>
      </c>
    </row>
    <row r="165" spans="1:16">
      <c r="A165" t="str">
        <f t="shared" si="10"/>
        <v/>
      </c>
      <c r="F165" s="3"/>
      <c r="H165" s="4"/>
      <c r="K165" s="3"/>
      <c r="L165" s="3"/>
      <c r="N165" s="2"/>
      <c r="O165" t="str">
        <f>IFERROR(F165-INDEX('Lead Tracker'!$O$5:$O$304,MATCH(D165,'Lead Tracker'!$F$5:$F$304,0)),"")</f>
        <v/>
      </c>
      <c r="P165" t="str">
        <f t="shared" si="11"/>
        <v/>
      </c>
    </row>
    <row r="166" spans="1:16">
      <c r="A166" t="str">
        <f t="shared" si="10"/>
        <v/>
      </c>
      <c r="F166" s="3"/>
      <c r="H166" s="4"/>
      <c r="K166" s="3"/>
      <c r="L166" s="3"/>
      <c r="N166" s="2"/>
      <c r="O166" t="str">
        <f>IFERROR(F166-INDEX('Lead Tracker'!$O$5:$O$304,MATCH(D166,'Lead Tracker'!$F$5:$F$304,0)),"")</f>
        <v/>
      </c>
      <c r="P166" t="str">
        <f t="shared" si="11"/>
        <v/>
      </c>
    </row>
    <row r="167" spans="1:16">
      <c r="A167" t="str">
        <f t="shared" si="10"/>
        <v/>
      </c>
      <c r="F167" s="3"/>
      <c r="H167" s="4"/>
      <c r="K167" s="3"/>
      <c r="L167" s="3"/>
      <c r="N167" s="2"/>
      <c r="O167" t="str">
        <f>IFERROR(F167-INDEX('Lead Tracker'!$O$5:$O$304,MATCH(D167,'Lead Tracker'!$F$5:$F$304,0)),"")</f>
        <v/>
      </c>
      <c r="P167" t="str">
        <f t="shared" si="11"/>
        <v/>
      </c>
    </row>
    <row r="168" spans="1:16">
      <c r="A168" t="str">
        <f t="shared" si="10"/>
        <v/>
      </c>
      <c r="F168" s="3"/>
      <c r="H168" s="4"/>
      <c r="K168" s="3"/>
      <c r="L168" s="3"/>
      <c r="N168" s="2"/>
      <c r="O168" t="str">
        <f>IFERROR(F168-INDEX('Lead Tracker'!$O$5:$O$304,MATCH(D168,'Lead Tracker'!$F$5:$F$304,0)),"")</f>
        <v/>
      </c>
      <c r="P168" t="str">
        <f t="shared" si="11"/>
        <v/>
      </c>
    </row>
    <row r="169" spans="1:16">
      <c r="A169" t="str">
        <f t="shared" si="10"/>
        <v/>
      </c>
      <c r="F169" s="3"/>
      <c r="H169" s="4"/>
      <c r="K169" s="3"/>
      <c r="L169" s="3"/>
      <c r="N169" s="2"/>
      <c r="O169" t="str">
        <f>IFERROR(F169-INDEX('Lead Tracker'!$O$5:$O$304,MATCH(D169,'Lead Tracker'!$F$5:$F$304,0)),"")</f>
        <v/>
      </c>
      <c r="P169" t="str">
        <f t="shared" si="11"/>
        <v/>
      </c>
    </row>
    <row r="170" spans="1:16">
      <c r="A170" t="str">
        <f t="shared" si="10"/>
        <v/>
      </c>
      <c r="F170" s="3"/>
      <c r="H170" s="4"/>
      <c r="K170" s="3"/>
      <c r="L170" s="3"/>
      <c r="N170" s="2"/>
      <c r="O170" t="str">
        <f>IFERROR(F170-INDEX('Lead Tracker'!$O$5:$O$304,MATCH(D170,'Lead Tracker'!$F$5:$F$304,0)),"")</f>
        <v/>
      </c>
      <c r="P170" t="str">
        <f t="shared" si="11"/>
        <v/>
      </c>
    </row>
    <row r="171" spans="1:16">
      <c r="A171" t="str">
        <f t="shared" si="10"/>
        <v/>
      </c>
      <c r="F171" s="3"/>
      <c r="H171" s="4"/>
      <c r="K171" s="3"/>
      <c r="L171" s="3"/>
      <c r="N171" s="2"/>
      <c r="O171" t="str">
        <f>IFERROR(F171-INDEX('Lead Tracker'!$O$5:$O$304,MATCH(D171,'Lead Tracker'!$F$5:$F$304,0)),"")</f>
        <v/>
      </c>
      <c r="P171" t="str">
        <f t="shared" si="11"/>
        <v/>
      </c>
    </row>
    <row r="172" spans="1:16">
      <c r="A172" t="str">
        <f t="shared" si="10"/>
        <v/>
      </c>
      <c r="F172" s="3"/>
      <c r="H172" s="4"/>
      <c r="K172" s="3"/>
      <c r="L172" s="3"/>
      <c r="N172" s="2"/>
      <c r="O172" t="str">
        <f>IFERROR(F172-INDEX('Lead Tracker'!$O$5:$O$304,MATCH(D172,'Lead Tracker'!$F$5:$F$304,0)),"")</f>
        <v/>
      </c>
      <c r="P172" t="str">
        <f t="shared" si="11"/>
        <v/>
      </c>
    </row>
    <row r="173" spans="1:16">
      <c r="A173" t="str">
        <f t="shared" si="10"/>
        <v/>
      </c>
      <c r="F173" s="3"/>
      <c r="H173" s="4"/>
      <c r="K173" s="3"/>
      <c r="L173" s="3"/>
      <c r="N173" s="2"/>
      <c r="O173" t="str">
        <f>IFERROR(F173-INDEX('Lead Tracker'!$O$5:$O$304,MATCH(D173,'Lead Tracker'!$F$5:$F$304,0)),"")</f>
        <v/>
      </c>
      <c r="P173" t="str">
        <f t="shared" si="11"/>
        <v/>
      </c>
    </row>
    <row r="174" spans="1:16">
      <c r="A174" t="str">
        <f t="shared" si="10"/>
        <v/>
      </c>
      <c r="F174" s="3"/>
      <c r="H174" s="4"/>
      <c r="K174" s="3"/>
      <c r="L174" s="3"/>
      <c r="N174" s="2"/>
      <c r="O174" t="str">
        <f>IFERROR(F174-INDEX('Lead Tracker'!$O$5:$O$304,MATCH(D174,'Lead Tracker'!$F$5:$F$304,0)),"")</f>
        <v/>
      </c>
      <c r="P174" t="str">
        <f t="shared" si="11"/>
        <v/>
      </c>
    </row>
    <row r="175" spans="1:16">
      <c r="A175" t="str">
        <f t="shared" si="10"/>
        <v/>
      </c>
      <c r="F175" s="3"/>
      <c r="H175" s="4"/>
      <c r="K175" s="3"/>
      <c r="L175" s="3"/>
      <c r="N175" s="2"/>
      <c r="O175" t="str">
        <f>IFERROR(F175-INDEX('Lead Tracker'!$O$5:$O$304,MATCH(D175,'Lead Tracker'!$F$5:$F$304,0)),"")</f>
        <v/>
      </c>
      <c r="P175" t="str">
        <f t="shared" si="11"/>
        <v/>
      </c>
    </row>
    <row r="176" spans="1:16">
      <c r="A176" t="str">
        <f t="shared" si="10"/>
        <v/>
      </c>
      <c r="F176" s="3"/>
      <c r="H176" s="4"/>
      <c r="K176" s="3"/>
      <c r="L176" s="3"/>
      <c r="N176" s="2"/>
      <c r="O176" t="str">
        <f>IFERROR(F176-INDEX('Lead Tracker'!$O$5:$O$304,MATCH(D176,'Lead Tracker'!$F$5:$F$304,0)),"")</f>
        <v/>
      </c>
      <c r="P176" t="str">
        <f t="shared" si="11"/>
        <v/>
      </c>
    </row>
    <row r="177" spans="1:16">
      <c r="A177" t="str">
        <f t="shared" si="10"/>
        <v/>
      </c>
      <c r="F177" s="3"/>
      <c r="H177" s="4"/>
      <c r="K177" s="3"/>
      <c r="L177" s="3"/>
      <c r="N177" s="2"/>
      <c r="O177" t="str">
        <f>IFERROR(F177-INDEX('Lead Tracker'!$O$5:$O$304,MATCH(D177,'Lead Tracker'!$F$5:$F$304,0)),"")</f>
        <v/>
      </c>
      <c r="P177" t="str">
        <f t="shared" si="11"/>
        <v/>
      </c>
    </row>
    <row r="178" spans="1:16">
      <c r="A178" t="str">
        <f t="shared" si="10"/>
        <v/>
      </c>
      <c r="F178" s="3"/>
      <c r="H178" s="4"/>
      <c r="K178" s="3"/>
      <c r="L178" s="3"/>
      <c r="N178" s="2"/>
      <c r="O178" t="str">
        <f>IFERROR(F178-INDEX('Lead Tracker'!$O$5:$O$304,MATCH(D178,'Lead Tracker'!$F$5:$F$304,0)),"")</f>
        <v/>
      </c>
      <c r="P178" t="str">
        <f t="shared" si="11"/>
        <v/>
      </c>
    </row>
    <row r="179" spans="1:16">
      <c r="A179" t="str">
        <f t="shared" si="10"/>
        <v/>
      </c>
      <c r="F179" s="3"/>
      <c r="H179" s="4"/>
      <c r="K179" s="3"/>
      <c r="L179" s="3"/>
      <c r="N179" s="2"/>
      <c r="O179" t="str">
        <f>IFERROR(F179-INDEX('Lead Tracker'!$O$5:$O$304,MATCH(D179,'Lead Tracker'!$F$5:$F$304,0)),"")</f>
        <v/>
      </c>
      <c r="P179" t="str">
        <f t="shared" si="11"/>
        <v/>
      </c>
    </row>
    <row r="180" spans="1:16">
      <c r="A180" t="str">
        <f t="shared" si="10"/>
        <v/>
      </c>
      <c r="F180" s="3"/>
      <c r="H180" s="4"/>
      <c r="K180" s="3"/>
      <c r="L180" s="3"/>
      <c r="N180" s="2"/>
      <c r="O180" t="str">
        <f>IFERROR(F180-INDEX('Lead Tracker'!$O$5:$O$304,MATCH(D180,'Lead Tracker'!$F$5:$F$304,0)),"")</f>
        <v/>
      </c>
      <c r="P180" t="str">
        <f t="shared" si="11"/>
        <v/>
      </c>
    </row>
    <row r="181" spans="1:16">
      <c r="A181" t="str">
        <f t="shared" si="10"/>
        <v/>
      </c>
      <c r="F181" s="3"/>
      <c r="H181" s="4"/>
      <c r="K181" s="3"/>
      <c r="L181" s="3"/>
      <c r="N181" s="2"/>
      <c r="O181" t="str">
        <f>IFERROR(F181-INDEX('Lead Tracker'!$O$5:$O$304,MATCH(D181,'Lead Tracker'!$F$5:$F$304,0)),"")</f>
        <v/>
      </c>
      <c r="P181" t="str">
        <f t="shared" si="11"/>
        <v/>
      </c>
    </row>
    <row r="182" spans="1:16">
      <c r="A182" t="str">
        <f t="shared" si="10"/>
        <v/>
      </c>
      <c r="F182" s="3"/>
      <c r="H182" s="4"/>
      <c r="K182" s="3"/>
      <c r="L182" s="3"/>
      <c r="N182" s="2"/>
      <c r="O182" t="str">
        <f>IFERROR(F182-INDEX('Lead Tracker'!$O$5:$O$304,MATCH(D182,'Lead Tracker'!$F$5:$F$304,0)),"")</f>
        <v/>
      </c>
      <c r="P182" t="str">
        <f t="shared" si="11"/>
        <v/>
      </c>
    </row>
    <row r="183" spans="1:16">
      <c r="A183" t="str">
        <f t="shared" si="10"/>
        <v/>
      </c>
      <c r="F183" s="3"/>
      <c r="H183" s="4"/>
      <c r="K183" s="3"/>
      <c r="L183" s="3"/>
      <c r="N183" s="2"/>
      <c r="O183" t="str">
        <f>IFERROR(F183-INDEX('Lead Tracker'!$O$5:$O$304,MATCH(D183,'Lead Tracker'!$F$5:$F$304,0)),"")</f>
        <v/>
      </c>
      <c r="P183" t="str">
        <f t="shared" si="11"/>
        <v/>
      </c>
    </row>
    <row r="184" spans="1:16">
      <c r="A184" t="str">
        <f t="shared" si="10"/>
        <v/>
      </c>
      <c r="F184" s="3"/>
      <c r="H184" s="4"/>
      <c r="K184" s="3"/>
      <c r="L184" s="3"/>
      <c r="N184" s="2"/>
      <c r="O184" t="str">
        <f>IFERROR(F184-INDEX('Lead Tracker'!$O$5:$O$304,MATCH(D184,'Lead Tracker'!$F$5:$F$304,0)),"")</f>
        <v/>
      </c>
      <c r="P184" t="str">
        <f t="shared" si="11"/>
        <v/>
      </c>
    </row>
    <row r="185" spans="1:16">
      <c r="A185" t="str">
        <f t="shared" si="10"/>
        <v/>
      </c>
      <c r="F185" s="3"/>
      <c r="H185" s="4"/>
      <c r="K185" s="3"/>
      <c r="L185" s="3"/>
      <c r="N185" s="2"/>
      <c r="O185" t="str">
        <f>IFERROR(F185-INDEX('Lead Tracker'!$O$5:$O$304,MATCH(D185,'Lead Tracker'!$F$5:$F$304,0)),"")</f>
        <v/>
      </c>
      <c r="P185" t="str">
        <f t="shared" si="11"/>
        <v/>
      </c>
    </row>
    <row r="186" spans="1:16">
      <c r="A186" t="str">
        <f t="shared" si="10"/>
        <v/>
      </c>
      <c r="F186" s="3"/>
      <c r="H186" s="4"/>
      <c r="K186" s="3"/>
      <c r="L186" s="3"/>
      <c r="N186" s="2"/>
      <c r="O186" t="str">
        <f>IFERROR(F186-INDEX('Lead Tracker'!$O$5:$O$304,MATCH(D186,'Lead Tracker'!$F$5:$F$304,0)),"")</f>
        <v/>
      </c>
      <c r="P186" t="str">
        <f t="shared" si="11"/>
        <v/>
      </c>
    </row>
    <row r="187" spans="1:16">
      <c r="A187" t="str">
        <f t="shared" si="10"/>
        <v/>
      </c>
      <c r="F187" s="3"/>
      <c r="H187" s="4"/>
      <c r="K187" s="3"/>
      <c r="L187" s="3"/>
      <c r="N187" s="2"/>
      <c r="O187" t="str">
        <f>IFERROR(F187-INDEX('Lead Tracker'!$O$5:$O$304,MATCH(D187,'Lead Tracker'!$F$5:$F$304,0)),"")</f>
        <v/>
      </c>
      <c r="P187" t="str">
        <f t="shared" si="11"/>
        <v/>
      </c>
    </row>
    <row r="188" spans="1:16">
      <c r="A188" t="str">
        <f t="shared" si="10"/>
        <v/>
      </c>
      <c r="F188" s="3"/>
      <c r="H188" s="4"/>
      <c r="K188" s="3"/>
      <c r="L188" s="3"/>
      <c r="N188" s="2"/>
      <c r="O188" t="str">
        <f>IFERROR(F188-INDEX('Lead Tracker'!$O$5:$O$304,MATCH(D188,'Lead Tracker'!$F$5:$F$304,0)),"")</f>
        <v/>
      </c>
      <c r="P188" t="str">
        <f t="shared" si="11"/>
        <v/>
      </c>
    </row>
    <row r="189" spans="1:16">
      <c r="A189" t="str">
        <f t="shared" si="10"/>
        <v/>
      </c>
      <c r="F189" s="3"/>
      <c r="H189" s="4"/>
      <c r="K189" s="3"/>
      <c r="L189" s="3"/>
      <c r="N189" s="2"/>
      <c r="O189" t="str">
        <f>IFERROR(F189-INDEX('Lead Tracker'!$O$5:$O$304,MATCH(D189,'Lead Tracker'!$F$5:$F$304,0)),"")</f>
        <v/>
      </c>
      <c r="P189" t="str">
        <f t="shared" si="11"/>
        <v/>
      </c>
    </row>
    <row r="190" spans="1:16">
      <c r="A190" t="str">
        <f t="shared" si="10"/>
        <v/>
      </c>
      <c r="F190" s="3"/>
      <c r="H190" s="4"/>
      <c r="K190" s="3"/>
      <c r="L190" s="3"/>
      <c r="N190" s="2"/>
      <c r="O190" t="str">
        <f>IFERROR(F190-INDEX('Lead Tracker'!$O$5:$O$304,MATCH(D190,'Lead Tracker'!$F$5:$F$304,0)),"")</f>
        <v/>
      </c>
      <c r="P190" t="str">
        <f t="shared" si="11"/>
        <v/>
      </c>
    </row>
    <row r="191" spans="1:16">
      <c r="A191" t="str">
        <f t="shared" si="10"/>
        <v/>
      </c>
      <c r="F191" s="3"/>
      <c r="H191" s="4"/>
      <c r="K191" s="3"/>
      <c r="L191" s="3"/>
      <c r="N191" s="2"/>
      <c r="O191" t="str">
        <f>IFERROR(F191-INDEX('Lead Tracker'!$O$5:$O$304,MATCH(D191,'Lead Tracker'!$F$5:$F$304,0)),"")</f>
        <v/>
      </c>
      <c r="P191" t="str">
        <f t="shared" si="11"/>
        <v/>
      </c>
    </row>
    <row r="192" spans="1:16">
      <c r="A192" t="str">
        <f t="shared" si="10"/>
        <v/>
      </c>
      <c r="F192" s="3"/>
      <c r="H192" s="4"/>
      <c r="K192" s="3"/>
      <c r="L192" s="3"/>
      <c r="N192" s="2"/>
      <c r="O192" t="str">
        <f>IFERROR(F192-INDEX('Lead Tracker'!$O$5:$O$304,MATCH(D192,'Lead Tracker'!$F$5:$F$304,0)),"")</f>
        <v/>
      </c>
      <c r="P192" t="str">
        <f t="shared" si="11"/>
        <v/>
      </c>
    </row>
    <row r="193" spans="1:16">
      <c r="A193" t="str">
        <f t="shared" si="10"/>
        <v/>
      </c>
      <c r="F193" s="3"/>
      <c r="H193" s="4"/>
      <c r="K193" s="3"/>
      <c r="L193" s="3"/>
      <c r="N193" s="2"/>
      <c r="O193" t="str">
        <f>IFERROR(F193-INDEX('Lead Tracker'!$O$5:$O$304,MATCH(D193,'Lead Tracker'!$F$5:$F$304,0)),"")</f>
        <v/>
      </c>
      <c r="P193" t="str">
        <f t="shared" si="11"/>
        <v/>
      </c>
    </row>
    <row r="194" spans="1:16">
      <c r="A194" t="str">
        <f t="shared" si="10"/>
        <v/>
      </c>
      <c r="F194" s="3"/>
      <c r="H194" s="4"/>
      <c r="K194" s="3"/>
      <c r="L194" s="3"/>
      <c r="N194" s="2"/>
      <c r="O194" t="str">
        <f>IFERROR(F194-INDEX('Lead Tracker'!$O$5:$O$304,MATCH(D194,'Lead Tracker'!$F$5:$F$304,0)),"")</f>
        <v/>
      </c>
      <c r="P194" t="str">
        <f t="shared" si="11"/>
        <v/>
      </c>
    </row>
    <row r="195" spans="1:16">
      <c r="A195" t="str">
        <f t="shared" si="10"/>
        <v/>
      </c>
      <c r="F195" s="3"/>
      <c r="H195" s="4"/>
      <c r="K195" s="3"/>
      <c r="L195" s="3"/>
      <c r="N195" s="2"/>
      <c r="O195" t="str">
        <f>IFERROR(F195-INDEX('Lead Tracker'!$O$5:$O$304,MATCH(D195,'Lead Tracker'!$F$5:$F$304,0)),"")</f>
        <v/>
      </c>
      <c r="P195" t="str">
        <f t="shared" si="11"/>
        <v/>
      </c>
    </row>
    <row r="196" spans="1:16">
      <c r="A196" t="str">
        <f t="shared" ref="A196:A203" si="12">IF(B196="","","OPP-"&amp;TEXT(ROW()-3,"000"))</f>
        <v/>
      </c>
      <c r="F196" s="3"/>
      <c r="H196" s="4"/>
      <c r="K196" s="3"/>
      <c r="L196" s="3"/>
      <c r="N196" s="2"/>
      <c r="O196" t="str">
        <f>IFERROR(F196-INDEX('Lead Tracker'!$O$5:$O$304,MATCH(D196,'Lead Tracker'!$F$5:$F$304,0)),"")</f>
        <v/>
      </c>
      <c r="P196" t="str">
        <f t="shared" ref="P196:P203" si="13">IF(OR(F196="",L196=""),"",L196-F196)</f>
        <v/>
      </c>
    </row>
    <row r="197" spans="1:16">
      <c r="A197" t="str">
        <f t="shared" si="12"/>
        <v/>
      </c>
      <c r="F197" s="3"/>
      <c r="H197" s="4"/>
      <c r="K197" s="3"/>
      <c r="L197" s="3"/>
      <c r="N197" s="2"/>
      <c r="O197" t="str">
        <f>IFERROR(F197-INDEX('Lead Tracker'!$O$5:$O$304,MATCH(D197,'Lead Tracker'!$F$5:$F$304,0)),"")</f>
        <v/>
      </c>
      <c r="P197" t="str">
        <f t="shared" si="13"/>
        <v/>
      </c>
    </row>
    <row r="198" spans="1:16">
      <c r="A198" t="str">
        <f t="shared" si="12"/>
        <v/>
      </c>
      <c r="F198" s="3"/>
      <c r="H198" s="4"/>
      <c r="K198" s="3"/>
      <c r="L198" s="3"/>
      <c r="N198" s="2"/>
      <c r="O198" t="str">
        <f>IFERROR(F198-INDEX('Lead Tracker'!$O$5:$O$304,MATCH(D198,'Lead Tracker'!$F$5:$F$304,0)),"")</f>
        <v/>
      </c>
      <c r="P198" t="str">
        <f t="shared" si="13"/>
        <v/>
      </c>
    </row>
    <row r="199" spans="1:16">
      <c r="A199" t="str">
        <f t="shared" si="12"/>
        <v/>
      </c>
      <c r="F199" s="3"/>
      <c r="H199" s="4"/>
      <c r="K199" s="3"/>
      <c r="L199" s="3"/>
      <c r="N199" s="2"/>
      <c r="O199" t="str">
        <f>IFERROR(F199-INDEX('Lead Tracker'!$O$5:$O$304,MATCH(D199,'Lead Tracker'!$F$5:$F$304,0)),"")</f>
        <v/>
      </c>
      <c r="P199" t="str">
        <f t="shared" si="13"/>
        <v/>
      </c>
    </row>
    <row r="200" spans="1:16">
      <c r="A200" t="str">
        <f t="shared" si="12"/>
        <v/>
      </c>
      <c r="F200" s="3"/>
      <c r="H200" s="4"/>
      <c r="K200" s="3"/>
      <c r="L200" s="3"/>
      <c r="N200" s="2"/>
      <c r="O200" t="str">
        <f>IFERROR(F200-INDEX('Lead Tracker'!$O$5:$O$304,MATCH(D200,'Lead Tracker'!$F$5:$F$304,0)),"")</f>
        <v/>
      </c>
      <c r="P200" t="str">
        <f t="shared" si="13"/>
        <v/>
      </c>
    </row>
    <row r="201" spans="1:16">
      <c r="A201" t="str">
        <f t="shared" si="12"/>
        <v/>
      </c>
      <c r="F201" s="3"/>
      <c r="H201" s="4"/>
      <c r="K201" s="3"/>
      <c r="L201" s="3"/>
      <c r="N201" s="2"/>
      <c r="O201" t="str">
        <f>IFERROR(F201-INDEX('Lead Tracker'!$O$5:$O$304,MATCH(D201,'Lead Tracker'!$F$5:$F$304,0)),"")</f>
        <v/>
      </c>
      <c r="P201" t="str">
        <f t="shared" si="13"/>
        <v/>
      </c>
    </row>
    <row r="202" spans="1:16">
      <c r="A202" t="str">
        <f t="shared" si="12"/>
        <v/>
      </c>
      <c r="F202" s="3"/>
      <c r="H202" s="4"/>
      <c r="K202" s="3"/>
      <c r="L202" s="3"/>
      <c r="N202" s="2"/>
      <c r="O202" t="str">
        <f>IFERROR(F202-INDEX('Lead Tracker'!$O$5:$O$304,MATCH(D202,'Lead Tracker'!$F$5:$F$304,0)),"")</f>
        <v/>
      </c>
      <c r="P202" t="str">
        <f t="shared" si="13"/>
        <v/>
      </c>
    </row>
    <row r="203" spans="1:16">
      <c r="A203" t="str">
        <f t="shared" si="12"/>
        <v/>
      </c>
      <c r="F203" s="3"/>
      <c r="H203" s="4"/>
      <c r="K203" s="3"/>
      <c r="L203" s="3"/>
      <c r="N203" s="2"/>
      <c r="O203" t="str">
        <f>IFERROR(F203-INDEX('Lead Tracker'!$O$5:$O$304,MATCH(D203,'Lead Tracker'!$F$5:$F$304,0)),"")</f>
        <v/>
      </c>
      <c r="P203" t="str">
        <f t="shared" si="13"/>
        <v/>
      </c>
    </row>
  </sheetData>
  <mergeCells count="1">
    <mergeCell ref="A1:P1"/>
  </mergeCells>
  <dataValidations count="2">
    <dataValidation type="list" sqref="J4:J203" xr:uid="{00000000-0002-0000-0200-000001000000}">
      <formula1>"No,Yes"</formula1>
    </dataValidation>
    <dataValidation type="list" sqref="M4:M203" xr:uid="{00000000-0002-0000-0200-000002000000}">
      <formula1>"Open,Won,Lost,Delayed"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Lists!$D$2:$D$9</xm:f>
          </x14:formula1>
          <xm:sqref>I4:I203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>
      <selection activeCell="B13" sqref="B13"/>
    </sheetView>
  </sheetViews>
  <sheetFormatPr baseColWidth="10" defaultColWidth="8.83203125" defaultRowHeight="15"/>
  <cols>
    <col min="1" max="1" width="16" style="7" customWidth="1"/>
    <col min="2" max="2" width="60" style="7" customWidth="1"/>
    <col min="3" max="3" width="8.83203125" style="7"/>
    <col min="4" max="4" width="29.6640625" style="7" bestFit="1" customWidth="1"/>
    <col min="5" max="5" width="26" style="7" customWidth="1"/>
    <col min="6" max="6" width="24" style="7" customWidth="1"/>
    <col min="7" max="7" width="34" style="7" customWidth="1"/>
    <col min="8" max="9" width="16" style="7" customWidth="1"/>
    <col min="10" max="10" width="14" style="7" customWidth="1"/>
    <col min="11" max="16384" width="8.83203125" style="7"/>
  </cols>
  <sheetData>
    <row r="1" spans="1:10" ht="21">
      <c r="A1" s="16" t="s">
        <v>120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6">
      <c r="A3" s="6" t="s">
        <v>121</v>
      </c>
      <c r="B3" s="6" t="s">
        <v>122</v>
      </c>
      <c r="D3" s="6" t="s">
        <v>123</v>
      </c>
      <c r="E3" s="6" t="s">
        <v>82</v>
      </c>
      <c r="F3" s="6" t="s">
        <v>124</v>
      </c>
      <c r="G3" s="6" t="s">
        <v>94</v>
      </c>
      <c r="H3" s="6" t="s">
        <v>95</v>
      </c>
      <c r="I3" s="6" t="s">
        <v>125</v>
      </c>
      <c r="J3" s="6" t="s">
        <v>96</v>
      </c>
    </row>
    <row r="4" spans="1:10">
      <c r="A4" s="13">
        <v>1</v>
      </c>
      <c r="B4" s="7" t="s">
        <v>126</v>
      </c>
      <c r="D4" s="7" t="str">
        <f ca="1">_xlfn._xlws.FILTER(CHOOSE({1,2,3,4,5,6,7},'Lead Tracker'!B5:B304&amp;" "&amp;'Lead Tracker'!C5:C304,'Lead Tracker'!E5:E304,'Lead Tracker'!M5:M304,'Lead Tracker'!T5:T304,'Lead Tracker'!V5:V304,'Lead Tracker'!AI5:AI304,'Lead Tracker'!W5:W304),('Lead Tracker'!V5:V304&lt;&gt;"")*('Lead Tracker'!V5:V304&lt;=TODAY()+14)*('Lead Tracker'!AA5:AA304&lt;&gt;"Yes")*('Lead Tracker'!M5:M304&lt;&gt;"Closed / Do Not Contact"),"No follow-ups due in the next 14 days")</f>
        <v>No follow-ups due in the next 14 days</v>
      </c>
      <c r="H4" s="12"/>
    </row>
    <row r="5" spans="1:10">
      <c r="A5" s="13">
        <v>2</v>
      </c>
      <c r="B5" s="7" t="s">
        <v>127</v>
      </c>
      <c r="H5" s="12"/>
    </row>
    <row r="6" spans="1:10">
      <c r="A6" s="13">
        <v>3</v>
      </c>
      <c r="B6" s="7" t="s">
        <v>128</v>
      </c>
      <c r="H6" s="12"/>
    </row>
    <row r="7" spans="1:10">
      <c r="A7" s="13">
        <v>4</v>
      </c>
      <c r="B7" s="7" t="s">
        <v>129</v>
      </c>
      <c r="H7" s="12"/>
    </row>
    <row r="8" spans="1:10">
      <c r="A8" s="13">
        <v>5</v>
      </c>
      <c r="B8" s="7" t="s">
        <v>130</v>
      </c>
      <c r="H8" s="12"/>
    </row>
    <row r="9" spans="1:10">
      <c r="H9" s="12"/>
    </row>
    <row r="10" spans="1:10">
      <c r="H10" s="12"/>
    </row>
    <row r="11" spans="1:10">
      <c r="H11" s="12"/>
    </row>
    <row r="12" spans="1:10">
      <c r="H12" s="12"/>
    </row>
    <row r="13" spans="1:10">
      <c r="H13" s="12"/>
    </row>
    <row r="14" spans="1:10">
      <c r="H14" s="12"/>
    </row>
    <row r="15" spans="1:10">
      <c r="H15" s="12"/>
    </row>
    <row r="16" spans="1:10">
      <c r="H16" s="12"/>
    </row>
    <row r="17" spans="8:8">
      <c r="H17" s="12"/>
    </row>
    <row r="18" spans="8:8">
      <c r="H18" s="12"/>
    </row>
    <row r="19" spans="8:8">
      <c r="H19" s="12"/>
    </row>
    <row r="20" spans="8:8">
      <c r="H20" s="12"/>
    </row>
    <row r="21" spans="8:8">
      <c r="H21" s="12"/>
    </row>
    <row r="22" spans="8:8">
      <c r="H22" s="12"/>
    </row>
    <row r="23" spans="8:8">
      <c r="H23" s="12"/>
    </row>
    <row r="24" spans="8:8">
      <c r="H24" s="12"/>
    </row>
    <row r="25" spans="8:8">
      <c r="H25" s="12"/>
    </row>
    <row r="26" spans="8:8">
      <c r="H26" s="12"/>
    </row>
    <row r="27" spans="8:8">
      <c r="H27" s="12"/>
    </row>
    <row r="28" spans="8:8">
      <c r="H28" s="12"/>
    </row>
    <row r="29" spans="8:8">
      <c r="H29" s="12"/>
    </row>
    <row r="30" spans="8:8">
      <c r="H30" s="12"/>
    </row>
    <row r="31" spans="8:8">
      <c r="H31" s="12"/>
    </row>
    <row r="32" spans="8:8">
      <c r="H32" s="12"/>
    </row>
    <row r="33" spans="8:8">
      <c r="H33" s="12"/>
    </row>
    <row r="34" spans="8:8">
      <c r="H34" s="12"/>
    </row>
    <row r="35" spans="8:8">
      <c r="H35" s="12"/>
    </row>
    <row r="36" spans="8:8">
      <c r="H36" s="12"/>
    </row>
    <row r="37" spans="8:8">
      <c r="H37" s="12"/>
    </row>
    <row r="38" spans="8:8">
      <c r="H38" s="12"/>
    </row>
    <row r="39" spans="8:8">
      <c r="H39" s="12"/>
    </row>
    <row r="40" spans="8:8">
      <c r="H40" s="12"/>
    </row>
    <row r="41" spans="8:8">
      <c r="H41" s="12"/>
    </row>
    <row r="42" spans="8:8">
      <c r="H42" s="12"/>
    </row>
    <row r="43" spans="8:8">
      <c r="H43" s="12"/>
    </row>
    <row r="44" spans="8:8">
      <c r="H44" s="12"/>
    </row>
    <row r="45" spans="8:8">
      <c r="H45" s="12"/>
    </row>
    <row r="46" spans="8:8">
      <c r="H46" s="12"/>
    </row>
    <row r="47" spans="8:8">
      <c r="H47" s="12"/>
    </row>
    <row r="48" spans="8:8">
      <c r="H48" s="12"/>
    </row>
    <row r="49" spans="8:8">
      <c r="H49" s="12"/>
    </row>
    <row r="50" spans="8:8">
      <c r="H50" s="12"/>
    </row>
    <row r="51" spans="8:8">
      <c r="H51" s="12"/>
    </row>
    <row r="52" spans="8:8">
      <c r="H52" s="12"/>
    </row>
    <row r="53" spans="8:8">
      <c r="H53" s="12"/>
    </row>
    <row r="54" spans="8:8">
      <c r="H54" s="12"/>
    </row>
    <row r="55" spans="8:8">
      <c r="H55" s="12"/>
    </row>
    <row r="56" spans="8:8">
      <c r="H56" s="12"/>
    </row>
    <row r="57" spans="8:8">
      <c r="H57" s="12"/>
    </row>
    <row r="58" spans="8:8">
      <c r="H58" s="12"/>
    </row>
    <row r="59" spans="8:8">
      <c r="H59" s="12"/>
    </row>
    <row r="60" spans="8:8">
      <c r="H60" s="12"/>
    </row>
    <row r="61" spans="8:8">
      <c r="H61" s="12"/>
    </row>
    <row r="62" spans="8:8">
      <c r="H62" s="12"/>
    </row>
    <row r="63" spans="8:8">
      <c r="H63" s="12"/>
    </row>
    <row r="64" spans="8:8">
      <c r="H64" s="12"/>
    </row>
    <row r="65" spans="8:8">
      <c r="H65" s="12"/>
    </row>
    <row r="66" spans="8:8">
      <c r="H66" s="12"/>
    </row>
    <row r="67" spans="8:8">
      <c r="H67" s="12"/>
    </row>
    <row r="68" spans="8:8">
      <c r="H68" s="12"/>
    </row>
    <row r="69" spans="8:8">
      <c r="H69" s="12"/>
    </row>
    <row r="70" spans="8:8">
      <c r="H70" s="12"/>
    </row>
    <row r="71" spans="8:8">
      <c r="H71" s="12"/>
    </row>
    <row r="72" spans="8:8">
      <c r="H72" s="12"/>
    </row>
    <row r="73" spans="8:8">
      <c r="H73" s="12"/>
    </row>
    <row r="74" spans="8:8">
      <c r="H74" s="12"/>
    </row>
    <row r="75" spans="8:8">
      <c r="H75" s="12"/>
    </row>
    <row r="76" spans="8:8">
      <c r="H76" s="12"/>
    </row>
    <row r="77" spans="8:8">
      <c r="H77" s="12"/>
    </row>
    <row r="78" spans="8:8">
      <c r="H78" s="12"/>
    </row>
    <row r="79" spans="8:8">
      <c r="H79" s="12"/>
    </row>
    <row r="80" spans="8:8">
      <c r="H80" s="12"/>
    </row>
    <row r="81" spans="8:8">
      <c r="H81" s="12"/>
    </row>
    <row r="82" spans="8:8">
      <c r="H82" s="12"/>
    </row>
    <row r="83" spans="8:8">
      <c r="H83" s="12"/>
    </row>
    <row r="84" spans="8:8">
      <c r="H84" s="12"/>
    </row>
    <row r="85" spans="8:8">
      <c r="H85" s="12"/>
    </row>
    <row r="86" spans="8:8">
      <c r="H86" s="12"/>
    </row>
    <row r="87" spans="8:8">
      <c r="H87" s="12"/>
    </row>
    <row r="88" spans="8:8">
      <c r="H88" s="12"/>
    </row>
    <row r="89" spans="8:8">
      <c r="H89" s="12"/>
    </row>
    <row r="90" spans="8:8">
      <c r="H90" s="12"/>
    </row>
    <row r="91" spans="8:8">
      <c r="H91" s="12"/>
    </row>
    <row r="92" spans="8:8">
      <c r="H92" s="12"/>
    </row>
    <row r="93" spans="8:8">
      <c r="H93" s="12"/>
    </row>
    <row r="94" spans="8:8">
      <c r="H94" s="12"/>
    </row>
    <row r="95" spans="8:8">
      <c r="H95" s="12"/>
    </row>
    <row r="96" spans="8:8">
      <c r="H96" s="12"/>
    </row>
    <row r="97" spans="8:8">
      <c r="H97" s="12"/>
    </row>
    <row r="98" spans="8:8">
      <c r="H98" s="12"/>
    </row>
    <row r="99" spans="8:8">
      <c r="H99" s="12"/>
    </row>
    <row r="100" spans="8:8">
      <c r="H100" s="12"/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D5" sqref="D5"/>
    </sheetView>
  </sheetViews>
  <sheetFormatPr baseColWidth="10" defaultColWidth="8.83203125" defaultRowHeight="15"/>
  <cols>
    <col min="1" max="1" width="28" style="7" customWidth="1"/>
    <col min="2" max="2" width="18" style="7" customWidth="1"/>
    <col min="3" max="3" width="8.83203125" style="7"/>
    <col min="4" max="4" width="24" style="7" customWidth="1"/>
    <col min="5" max="8" width="16" style="7" customWidth="1"/>
    <col min="9" max="16384" width="8.83203125" style="7"/>
  </cols>
  <sheetData>
    <row r="1" spans="1:8" ht="21">
      <c r="A1" s="16" t="s">
        <v>131</v>
      </c>
      <c r="B1" s="16"/>
      <c r="C1" s="16"/>
      <c r="D1" s="16"/>
      <c r="E1" s="16"/>
      <c r="F1" s="16"/>
      <c r="G1" s="16"/>
      <c r="H1" s="16"/>
    </row>
    <row r="3" spans="1:8" ht="32">
      <c r="A3" s="6" t="s">
        <v>132</v>
      </c>
      <c r="B3" s="6" t="s">
        <v>133</v>
      </c>
      <c r="D3" s="6" t="s">
        <v>1</v>
      </c>
      <c r="E3" s="6" t="s">
        <v>134</v>
      </c>
      <c r="F3" s="6" t="s">
        <v>135</v>
      </c>
      <c r="G3" s="6" t="s">
        <v>136</v>
      </c>
      <c r="H3" s="6" t="s">
        <v>22</v>
      </c>
    </row>
    <row r="4" spans="1:8">
      <c r="A4" s="9" t="s">
        <v>137</v>
      </c>
      <c r="B4" s="7">
        <f>COUNTIF('Lead Tracker'!B5:B304,"&lt;&gt;")</f>
        <v>0</v>
      </c>
      <c r="D4" s="7" t="s">
        <v>10</v>
      </c>
      <c r="E4" s="7">
        <f>COUNTIF('Lead Tracker'!I5:I304,D4)</f>
        <v>0</v>
      </c>
      <c r="F4" s="7">
        <f>COUNTIFS('Lead Tracker'!I5:I304,D4,'Lead Tracker'!M5:M304,"Met")+COUNTIFS('Lead Tracker'!I5:I304,D4,'Lead Tracker'!M5:M304,"Engaged")+COUNTIFS('Lead Tracker'!I5:I304,D4,'Lead Tracker'!M5:M304,"Potential Opportunity")+COUNTIFS('Lead Tracker'!I5:I304,D4,'Lead Tracker'!M5:M304,"Active Opportunity")</f>
        <v>0</v>
      </c>
      <c r="G4" s="7">
        <f>COUNTIF('Opportunity Tracker'!E4:E203,D4)</f>
        <v>0</v>
      </c>
      <c r="H4" s="7">
        <f>COUNTIFS('Opportunity Tracker'!E4:E203,D4,'Opportunity Tracker'!M4:M203,"Won")</f>
        <v>0</v>
      </c>
    </row>
    <row r="5" spans="1:8">
      <c r="A5" s="9" t="s">
        <v>138</v>
      </c>
      <c r="B5" s="7">
        <f>COUNTIF('Lead Tracker'!M5:M304,"Met")+COUNTIF('Lead Tracker'!M5:M304,"Engaged")+COUNTIF('Lead Tracker'!M5:M304,"Potential Opportunity")+COUNTIF('Lead Tracker'!M5:M304,"Active Opportunity")</f>
        <v>0</v>
      </c>
      <c r="D5" s="7" t="s">
        <v>19</v>
      </c>
      <c r="E5" s="7">
        <f>COUNTIF('Lead Tracker'!I5:I304,D5)</f>
        <v>0</v>
      </c>
      <c r="F5" s="7">
        <f>COUNTIFS('Lead Tracker'!I5:I304,D5,'Lead Tracker'!M5:M304,"Met")+COUNTIFS('Lead Tracker'!I5:I304,D5,'Lead Tracker'!M5:M304,"Engaged")+COUNTIFS('Lead Tracker'!I5:I304,D5,'Lead Tracker'!M5:M304,"Potential Opportunity")+COUNTIFS('Lead Tracker'!I5:I304,D5,'Lead Tracker'!M5:M304,"Active Opportunity")</f>
        <v>0</v>
      </c>
      <c r="G5" s="7">
        <f>COUNTIF('Opportunity Tracker'!E4:E203,D5)</f>
        <v>0</v>
      </c>
      <c r="H5" s="7">
        <f>COUNTIFS('Opportunity Tracker'!E4:E203,D5,'Opportunity Tracker'!M4:M203,"Won")</f>
        <v>0</v>
      </c>
    </row>
    <row r="6" spans="1:8">
      <c r="A6" s="9" t="s">
        <v>139</v>
      </c>
      <c r="B6" s="7">
        <f>COUNTIF('Opportunity Tracker'!M4:M203,"Open")</f>
        <v>0</v>
      </c>
      <c r="D6" s="7" t="s">
        <v>28</v>
      </c>
      <c r="E6" s="7">
        <f>COUNTIF('Lead Tracker'!I5:I304,D6)</f>
        <v>0</v>
      </c>
      <c r="F6" s="7">
        <f>COUNTIFS('Lead Tracker'!I5:I304,D6,'Lead Tracker'!M5:M304,"Met")+COUNTIFS('Lead Tracker'!I5:I304,D6,'Lead Tracker'!M5:M304,"Engaged")+COUNTIFS('Lead Tracker'!I5:I304,D6,'Lead Tracker'!M5:M304,"Potential Opportunity")+COUNTIFS('Lead Tracker'!I5:I304,D6,'Lead Tracker'!M5:M304,"Active Opportunity")</f>
        <v>0</v>
      </c>
      <c r="G6" s="7">
        <f>COUNTIF('Opportunity Tracker'!E4:E203,D6)</f>
        <v>0</v>
      </c>
      <c r="H6" s="7">
        <f>COUNTIFS('Opportunity Tracker'!E4:E203,D6,'Opportunity Tracker'!M4:M203,"Won")</f>
        <v>0</v>
      </c>
    </row>
    <row r="7" spans="1:8">
      <c r="A7" s="9" t="s">
        <v>140</v>
      </c>
      <c r="B7" s="10">
        <f>SUMIF('Opportunity Tracker'!M4:M203,"Open",'Opportunity Tracker'!H4:H203)</f>
        <v>0</v>
      </c>
      <c r="D7" s="7" t="s">
        <v>37</v>
      </c>
      <c r="E7" s="7">
        <f>COUNTIF('Lead Tracker'!I5:I304,D7)</f>
        <v>0</v>
      </c>
      <c r="F7" s="7">
        <f>COUNTIFS('Lead Tracker'!I5:I304,D7,'Lead Tracker'!M5:M304,"Met")+COUNTIFS('Lead Tracker'!I5:I304,D7,'Lead Tracker'!M5:M304,"Engaged")+COUNTIFS('Lead Tracker'!I5:I304,D7,'Lead Tracker'!M5:M304,"Potential Opportunity")+COUNTIFS('Lead Tracker'!I5:I304,D7,'Lead Tracker'!M5:M304,"Active Opportunity")</f>
        <v>0</v>
      </c>
      <c r="G7" s="7">
        <f>COUNTIF('Opportunity Tracker'!E4:E203,D7)</f>
        <v>0</v>
      </c>
      <c r="H7" s="7">
        <f>COUNTIFS('Opportunity Tracker'!E4:E203,D7,'Opportunity Tracker'!M4:M203,"Won")</f>
        <v>0</v>
      </c>
    </row>
    <row r="8" spans="1:8">
      <c r="A8" s="9" t="s">
        <v>141</v>
      </c>
      <c r="B8" s="10">
        <f>COUNTIF('Opportunity Tracker'!M4:M203,"Won")</f>
        <v>0</v>
      </c>
      <c r="D8" s="7" t="s">
        <v>46</v>
      </c>
      <c r="E8" s="7">
        <f>COUNTIF('Lead Tracker'!I5:I304,D8)</f>
        <v>0</v>
      </c>
      <c r="F8" s="7">
        <f>COUNTIFS('Lead Tracker'!I5:I304,D8,'Lead Tracker'!M5:M304,"Met")+COUNTIFS('Lead Tracker'!I5:I304,D8,'Lead Tracker'!M5:M304,"Engaged")+COUNTIFS('Lead Tracker'!I5:I304,D8,'Lead Tracker'!M5:M304,"Potential Opportunity")+COUNTIFS('Lead Tracker'!I5:I304,D8,'Lead Tracker'!M5:M304,"Active Opportunity")</f>
        <v>0</v>
      </c>
      <c r="G8" s="7">
        <f>COUNTIF('Opportunity Tracker'!E4:E203,D8)</f>
        <v>0</v>
      </c>
      <c r="H8" s="7">
        <f>COUNTIFS('Opportunity Tracker'!E4:E203,D8,'Opportunity Tracker'!M4:M203,"Won")</f>
        <v>0</v>
      </c>
    </row>
    <row r="9" spans="1:8">
      <c r="A9" s="9" t="s">
        <v>142</v>
      </c>
      <c r="B9" s="10">
        <f>SUMIF('Opportunity Tracker'!M4:M203,"Won",'Opportunity Tracker'!H4:H203)</f>
        <v>0</v>
      </c>
      <c r="D9" s="7" t="s">
        <v>55</v>
      </c>
      <c r="E9" s="7">
        <f>COUNTIF('Lead Tracker'!I5:I304,D9)</f>
        <v>0</v>
      </c>
      <c r="F9" s="7">
        <f>COUNTIFS('Lead Tracker'!I5:I304,D9,'Lead Tracker'!M5:M304,"Met")+COUNTIFS('Lead Tracker'!I5:I304,D9,'Lead Tracker'!M5:M304,"Engaged")+COUNTIFS('Lead Tracker'!I5:I304,D9,'Lead Tracker'!M5:M304,"Potential Opportunity")+COUNTIFS('Lead Tracker'!I5:I304,D9,'Lead Tracker'!M5:M304,"Active Opportunity")</f>
        <v>0</v>
      </c>
      <c r="G9" s="7">
        <f>COUNTIF('Opportunity Tracker'!E4:E203,D9)</f>
        <v>0</v>
      </c>
      <c r="H9" s="7">
        <f>COUNTIFS('Opportunity Tracker'!E4:E203,D9,'Opportunity Tracker'!M4:M203,"Won")</f>
        <v>0</v>
      </c>
    </row>
    <row r="10" spans="1:8">
      <c r="A10" s="9" t="s">
        <v>43</v>
      </c>
      <c r="B10" s="11">
        <f>IFERROR(COUNTIF('Opportunity Tracker'!M4:M203,"Won")/(COUNTIF('Opportunity Tracker'!M4:M203,"Won")+COUNTIF('Opportunity Tracker'!M4:M203,"Lost")),0)</f>
        <v>0</v>
      </c>
      <c r="D10" s="7" t="s">
        <v>63</v>
      </c>
      <c r="E10" s="7">
        <f>COUNTIF('Lead Tracker'!I5:I304,D10)</f>
        <v>0</v>
      </c>
      <c r="F10" s="7">
        <f>COUNTIFS('Lead Tracker'!I5:I304,D10,'Lead Tracker'!M5:M304,"Met")+COUNTIFS('Lead Tracker'!I5:I304,D10,'Lead Tracker'!M5:M304,"Engaged")+COUNTIFS('Lead Tracker'!I5:I304,D10,'Lead Tracker'!M5:M304,"Potential Opportunity")+COUNTIFS('Lead Tracker'!I5:I304,D10,'Lead Tracker'!M5:M304,"Active Opportunity")</f>
        <v>0</v>
      </c>
      <c r="G10" s="7">
        <f>COUNTIF('Opportunity Tracker'!E4:E203,D10)</f>
        <v>0</v>
      </c>
      <c r="H10" s="7">
        <f>COUNTIFS('Opportunity Tracker'!E4:E203,D10,'Opportunity Tracker'!M4:M203,"Won")</f>
        <v>0</v>
      </c>
    </row>
    <row r="11" spans="1:8">
      <c r="A11" s="9" t="s">
        <v>143</v>
      </c>
      <c r="B11" s="7">
        <f ca="1">COUNTIF('Lead Tracker'!AI5:AI304,"&lt;0")</f>
        <v>0</v>
      </c>
      <c r="D11" s="7" t="s">
        <v>68</v>
      </c>
      <c r="E11" s="7">
        <f>COUNTIF('Lead Tracker'!I5:I304,D11)</f>
        <v>0</v>
      </c>
      <c r="F11" s="7">
        <f>COUNTIFS('Lead Tracker'!I5:I304,D11,'Lead Tracker'!M5:M304,"Met")+COUNTIFS('Lead Tracker'!I5:I304,D11,'Lead Tracker'!M5:M304,"Engaged")+COUNTIFS('Lead Tracker'!I5:I304,D11,'Lead Tracker'!M5:M304,"Potential Opportunity")+COUNTIFS('Lead Tracker'!I5:I304,D11,'Lead Tracker'!M5:M304,"Active Opportunity")</f>
        <v>0</v>
      </c>
      <c r="G11" s="7">
        <f>COUNTIF('Opportunity Tracker'!E4:E203,D11)</f>
        <v>0</v>
      </c>
      <c r="H11" s="7">
        <f>COUNTIFS('Opportunity Tracker'!E4:E203,D11,'Opportunity Tracker'!M4:M203,"Won")</f>
        <v>0</v>
      </c>
    </row>
    <row r="12" spans="1:8">
      <c r="D12" s="7" t="s">
        <v>73</v>
      </c>
      <c r="E12" s="7">
        <f>COUNTIF('Lead Tracker'!I5:I304,D12)</f>
        <v>0</v>
      </c>
      <c r="F12" s="7">
        <f>COUNTIFS('Lead Tracker'!I5:I304,D12,'Lead Tracker'!M5:M304,"Met")+COUNTIFS('Lead Tracker'!I5:I304,D12,'Lead Tracker'!M5:M304,"Engaged")+COUNTIFS('Lead Tracker'!I5:I304,D12,'Lead Tracker'!M5:M304,"Potential Opportunity")+COUNTIFS('Lead Tracker'!I5:I304,D12,'Lead Tracker'!M5:M304,"Active Opportunity")</f>
        <v>0</v>
      </c>
      <c r="G12" s="7">
        <f>COUNTIF('Opportunity Tracker'!E4:E203,D12)</f>
        <v>0</v>
      </c>
      <c r="H12" s="7">
        <f>COUNTIFS('Opportunity Tracker'!E4:E203,D12,'Opportunity Tracker'!M4:M203,"Won")</f>
        <v>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A22" sqref="A22"/>
    </sheetView>
  </sheetViews>
  <sheetFormatPr baseColWidth="10" defaultColWidth="8.83203125" defaultRowHeight="15"/>
  <cols>
    <col min="1" max="1" width="8" style="7" customWidth="1"/>
    <col min="2" max="2" width="84.6640625" style="7" bestFit="1" customWidth="1"/>
    <col min="3" max="3" width="28" style="7" customWidth="1"/>
    <col min="4" max="4" width="30" style="7" customWidth="1"/>
    <col min="5" max="5" width="46" style="7" customWidth="1"/>
    <col min="6" max="6" width="38" style="7" customWidth="1"/>
    <col min="7" max="16384" width="8.83203125" style="7"/>
  </cols>
  <sheetData>
    <row r="1" spans="1:6" ht="21">
      <c r="A1" s="16" t="s">
        <v>144</v>
      </c>
      <c r="B1" s="16"/>
      <c r="C1" s="16"/>
      <c r="D1" s="16"/>
      <c r="E1" s="16"/>
      <c r="F1" s="16"/>
    </row>
    <row r="3" spans="1:6" ht="16">
      <c r="A3" s="6" t="s">
        <v>145</v>
      </c>
      <c r="B3" s="6" t="s">
        <v>146</v>
      </c>
      <c r="C3" s="6" t="s">
        <v>147</v>
      </c>
      <c r="D3" s="6" t="s">
        <v>148</v>
      </c>
      <c r="E3" s="6" t="s">
        <v>149</v>
      </c>
      <c r="F3" s="6" t="s">
        <v>150</v>
      </c>
    </row>
    <row r="4" spans="1:6" ht="48">
      <c r="A4" s="8" t="s">
        <v>11</v>
      </c>
      <c r="B4" s="8" t="s">
        <v>151</v>
      </c>
      <c r="C4" s="8" t="s">
        <v>152</v>
      </c>
      <c r="D4" s="8" t="s">
        <v>153</v>
      </c>
      <c r="E4" s="8" t="s">
        <v>154</v>
      </c>
      <c r="F4" s="8" t="s">
        <v>155</v>
      </c>
    </row>
    <row r="5" spans="1:6" ht="48">
      <c r="A5" s="8" t="s">
        <v>11</v>
      </c>
      <c r="B5" s="8" t="s">
        <v>156</v>
      </c>
      <c r="C5" s="8" t="s">
        <v>157</v>
      </c>
      <c r="D5" s="8" t="s">
        <v>158</v>
      </c>
      <c r="E5" s="8" t="s">
        <v>159</v>
      </c>
      <c r="F5" s="8" t="s">
        <v>160</v>
      </c>
    </row>
    <row r="6" spans="1:6" ht="48">
      <c r="A6" s="8" t="s">
        <v>11</v>
      </c>
      <c r="B6" s="8" t="s">
        <v>161</v>
      </c>
      <c r="C6" s="8" t="s">
        <v>162</v>
      </c>
      <c r="D6" s="8" t="s">
        <v>163</v>
      </c>
      <c r="E6" s="8" t="s">
        <v>164</v>
      </c>
      <c r="F6" s="8" t="s">
        <v>165</v>
      </c>
    </row>
    <row r="7" spans="1:6" ht="48">
      <c r="A7" s="8" t="s">
        <v>20</v>
      </c>
      <c r="B7" s="8" t="s">
        <v>166</v>
      </c>
      <c r="C7" s="8" t="s">
        <v>167</v>
      </c>
      <c r="D7" s="8" t="s">
        <v>168</v>
      </c>
      <c r="E7" s="8" t="s">
        <v>169</v>
      </c>
      <c r="F7" s="8" t="s">
        <v>170</v>
      </c>
    </row>
    <row r="8" spans="1:6" ht="48">
      <c r="A8" s="8" t="s">
        <v>20</v>
      </c>
      <c r="B8" s="8" t="s">
        <v>171</v>
      </c>
      <c r="C8" s="8" t="s">
        <v>172</v>
      </c>
      <c r="D8" s="8" t="s">
        <v>173</v>
      </c>
      <c r="E8" s="8" t="s">
        <v>174</v>
      </c>
      <c r="F8" s="8" t="s">
        <v>175</v>
      </c>
    </row>
    <row r="9" spans="1:6" ht="32">
      <c r="A9" s="8" t="s">
        <v>176</v>
      </c>
      <c r="B9" s="8" t="s">
        <v>177</v>
      </c>
      <c r="C9" s="8" t="s">
        <v>178</v>
      </c>
      <c r="D9" s="8" t="s">
        <v>179</v>
      </c>
      <c r="E9" s="8" t="s">
        <v>180</v>
      </c>
      <c r="F9" s="8" t="s">
        <v>181</v>
      </c>
    </row>
    <row r="10" spans="1:6" ht="32">
      <c r="A10" s="8" t="s">
        <v>38</v>
      </c>
      <c r="B10" s="8" t="s">
        <v>182</v>
      </c>
      <c r="C10" s="8" t="s">
        <v>183</v>
      </c>
      <c r="D10" s="8" t="s">
        <v>184</v>
      </c>
      <c r="E10" s="8" t="s">
        <v>185</v>
      </c>
      <c r="F10" s="8" t="s">
        <v>186</v>
      </c>
    </row>
    <row r="11" spans="1:6" ht="48">
      <c r="A11" s="8" t="s">
        <v>67</v>
      </c>
      <c r="B11" s="8" t="s">
        <v>187</v>
      </c>
      <c r="C11" s="8" t="s">
        <v>188</v>
      </c>
      <c r="D11" s="8" t="s">
        <v>189</v>
      </c>
      <c r="E11" s="8" t="s">
        <v>190</v>
      </c>
      <c r="F11" s="8" t="s">
        <v>191</v>
      </c>
    </row>
    <row r="14" spans="1:6">
      <c r="A14" s="17" t="s">
        <v>192</v>
      </c>
      <c r="B14" s="17"/>
      <c r="C14" s="17"/>
      <c r="D14" s="17"/>
      <c r="E14" s="17"/>
      <c r="F14" s="17"/>
    </row>
    <row r="15" spans="1:6" ht="16">
      <c r="A15" s="7">
        <v>1</v>
      </c>
      <c r="B15" s="8" t="s">
        <v>193</v>
      </c>
    </row>
    <row r="16" spans="1:6" ht="16">
      <c r="A16" s="7">
        <v>2</v>
      </c>
      <c r="B16" s="8" t="s">
        <v>194</v>
      </c>
    </row>
    <row r="17" spans="1:2" ht="16">
      <c r="A17" s="7">
        <v>3</v>
      </c>
      <c r="B17" s="8" t="s">
        <v>195</v>
      </c>
    </row>
    <row r="18" spans="1:2" ht="16">
      <c r="A18" s="7">
        <v>4</v>
      </c>
      <c r="B18" s="8" t="s">
        <v>196</v>
      </c>
    </row>
    <row r="19" spans="1:2" ht="16">
      <c r="A19" s="7">
        <v>5</v>
      </c>
      <c r="B19" s="8" t="s">
        <v>197</v>
      </c>
    </row>
    <row r="20" spans="1:2" ht="16">
      <c r="A20" s="7">
        <v>6</v>
      </c>
      <c r="B20" s="8" t="s">
        <v>198</v>
      </c>
    </row>
    <row r="21" spans="1:2" ht="16">
      <c r="A21" s="7">
        <v>7</v>
      </c>
      <c r="B21" s="8" t="s">
        <v>199</v>
      </c>
    </row>
    <row r="22" spans="1:2" ht="16">
      <c r="A22" s="7">
        <v>8</v>
      </c>
      <c r="B22" s="8" t="s">
        <v>200</v>
      </c>
    </row>
  </sheetData>
  <mergeCells count="2">
    <mergeCell ref="A1:F1"/>
    <mergeCell ref="A14:F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C39" sqref="C39"/>
    </sheetView>
  </sheetViews>
  <sheetFormatPr baseColWidth="10" defaultColWidth="8.83203125" defaultRowHeight="15"/>
  <cols>
    <col min="1" max="1" width="24" style="7" customWidth="1"/>
    <col min="2" max="2" width="58" style="7" customWidth="1"/>
    <col min="3" max="3" width="42" style="7" customWidth="1"/>
    <col min="4" max="4" width="46" style="7" customWidth="1"/>
    <col min="5" max="16384" width="8.83203125" style="7"/>
  </cols>
  <sheetData>
    <row r="1" spans="1:4" ht="21">
      <c r="A1" s="16" t="s">
        <v>201</v>
      </c>
      <c r="B1" s="16"/>
      <c r="C1" s="16"/>
      <c r="D1" s="16"/>
    </row>
    <row r="3" spans="1:4" ht="16">
      <c r="A3" s="6" t="s">
        <v>202</v>
      </c>
      <c r="B3" s="6" t="s">
        <v>203</v>
      </c>
      <c r="C3" s="6" t="s">
        <v>204</v>
      </c>
      <c r="D3" s="6" t="s">
        <v>205</v>
      </c>
    </row>
    <row r="4" spans="1:4" ht="32">
      <c r="A4" s="8" t="s">
        <v>206</v>
      </c>
      <c r="B4" s="8" t="s">
        <v>207</v>
      </c>
      <c r="C4" s="8" t="s">
        <v>208</v>
      </c>
      <c r="D4" s="8" t="s">
        <v>209</v>
      </c>
    </row>
    <row r="5" spans="1:4" ht="48">
      <c r="A5" s="8" t="s">
        <v>210</v>
      </c>
      <c r="B5" s="8" t="s">
        <v>211</v>
      </c>
      <c r="C5" s="8" t="s">
        <v>212</v>
      </c>
      <c r="D5" s="8" t="s">
        <v>209</v>
      </c>
    </row>
    <row r="6" spans="1:4" ht="32">
      <c r="A6" s="8" t="s">
        <v>213</v>
      </c>
      <c r="B6" s="8" t="s">
        <v>214</v>
      </c>
      <c r="C6" s="8" t="s">
        <v>215</v>
      </c>
      <c r="D6" s="8" t="s">
        <v>209</v>
      </c>
    </row>
    <row r="7" spans="1:4" ht="48">
      <c r="A7" s="8" t="s">
        <v>216</v>
      </c>
      <c r="B7" s="8" t="s">
        <v>217</v>
      </c>
      <c r="C7" s="8" t="s">
        <v>218</v>
      </c>
      <c r="D7" s="8" t="s">
        <v>219</v>
      </c>
    </row>
    <row r="8" spans="1:4" ht="16">
      <c r="A8" s="8" t="s">
        <v>220</v>
      </c>
      <c r="B8" s="8" t="s">
        <v>221</v>
      </c>
      <c r="C8" s="8" t="s">
        <v>222</v>
      </c>
      <c r="D8" s="8" t="s">
        <v>219</v>
      </c>
    </row>
    <row r="10" spans="1:4">
      <c r="A10" s="18" t="s">
        <v>223</v>
      </c>
      <c r="B10" s="18"/>
      <c r="C10" s="18"/>
      <c r="D10" s="18"/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Lists</vt:lpstr>
      <vt:lpstr>Lead Tracker</vt:lpstr>
      <vt:lpstr>Opportunity Tracker</vt:lpstr>
      <vt:lpstr>Weekly Follow-Up</vt:lpstr>
      <vt:lpstr>Dashboard</vt:lpstr>
      <vt:lpstr>Cadence &amp; Scripts</vt:lpstr>
      <vt:lpstr>CASL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K</cp:lastModifiedBy>
  <dcterms:modified xsi:type="dcterms:W3CDTF">2026-09-18T14:12:09Z</dcterms:modified>
</cp:coreProperties>
</file>